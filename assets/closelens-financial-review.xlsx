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c2a6c0a8a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Review" sheetId="1" r:id="R79c0d1fabc2449b5"/>
    <x:sheet xmlns:r="http://schemas.openxmlformats.org/officeDocument/2006/relationships" name="Source Data" sheetId="2" r:id="Rfbffffa215d843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($#,##0);&quot;–&quot;"/>
    <x:numFmt numFmtId="201" formatCode="0.0%"/>
    <x:numFmt numFmtId="202" formatCode="0.0%;(0.0%);&quot;–&quot;"/>
  </x:numFmts>
  <x:fonts count="5">
    <x:font>
      <x:sz val="11"/>
      <x:name val="Carlito"/>
    </x:font>
    <x:font>
      <x:sz val="11"/>
      <x:color rgb="FF192921"/>
      <x:name val="Arial"/>
    </x:font>
    <x:font>
      <x:b/>
      <x:sz val="16"/>
      <x:color rgb="FF192921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D"/>
      </x:patternFill>
    </x:fill>
    <x:fill>
      <x:patternFill patternType="solid">
        <x:fgColor rgb="FF254D39"/>
      </x:patternFill>
    </x:fill>
    <x:fill>
      <x:patternFill patternType="solid">
        <x:fgColor rgb="FFE7EE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1" fillId="4" borderId="0" xfId="0" applyNumberFormat="1" applyFont="1" applyFill="1" applyBorder="1"/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200" fontId="3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color rgb="FF355027"/>
      </x:font>
      <x:fill>
        <x:patternFill patternType="solid">
          <x:bgColor rgb="FFF0F6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66637235d4cc9" /><Relationship Type="http://schemas.openxmlformats.org/officeDocument/2006/relationships/theme" Target="/xl/theme/theme1.xml" Id="Rc295cf1976624caf" /><Relationship Type="http://schemas.openxmlformats.org/officeDocument/2006/relationships/sharedStrings" Target="/xl/sharedStrings.xml" Id="R9512f1e40c684912" /><Relationship Type="http://schemas.openxmlformats.org/officeDocument/2006/relationships/worksheet" Target="/xl/worksheets/sheet1.xml" Id="R79c0d1fabc2449b5" /><Relationship Type="http://schemas.openxmlformats.org/officeDocument/2006/relationships/worksheet" Target="/xl/worksheets/sheet2.xml" Id="Rfbffffa215d843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4D39"/>
  </x:sheetPr>
  <x:sheetViews>
    <x:sheetView showGridLines="0" workbookViewId="0"/>
  </x:sheetViews>
  <x:sheetFormatPr defaultRowHeight="15"/>
  <x:cols>
    <x:col min="1" max="1" width="27.780000686645508" hidden="0" customWidth="1"/>
    <x:col min="2" max="2" width="12.220000267028809" hidden="0" customWidth="1"/>
    <x:col min="3" max="3" width="13.329999923706055" hidden="0" customWidth="1"/>
    <x:col min="4" max="4" width="13.329999923706055" hidden="0" customWidth="1"/>
    <x:col min="5" max="5" width="13.890000343322754" hidden="0" customWidth="1"/>
    <x:col min="6" max="6" width="16.110000610351562" hidden="0" customWidth="1"/>
    <x:col min="7" max="7" width="15.5600004196167" hidden="0" customWidth="1"/>
    <x:col min="8" max="8" width="16.110000610351562" hidden="0" customWidth="1"/>
    <x:col min="9" max="9" width="28.32999992370605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CloseLens | Monthly finance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Fictional Northstar Services | Synthetic data | USD | September 2026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7" t="str">
        <x:v>Summary</x:v>
      </x:c>
      <x:c r="B5" s="7" t="str">
        <x:v>Budget</x:v>
      </x:c>
      <x:c r="C5" s="7" t="str">
        <x:v>Actual</x:v>
      </x:c>
      <x:c r="D5" s="1"/>
      <x:c r="E5" s="1"/>
      <x:c r="F5" s="1" t="str">
        <x:v>Threshold USD</x:v>
      </x:c>
      <x:c r="G5" s="11" t="n">
        <x:v>5000</x:v>
      </x:c>
      <x:c r="H5" s="1"/>
      <x:c r="I5" s="1"/>
      <x:c r="J5" s="1"/>
      <x:c r="K5" s="1"/>
    </x:row>
    <x:row r="6" ht="25" customHeight="1">
      <x:c r="A6" s="1" t="str">
        <x:v>Revenue</x:v>
      </x:c>
      <x:c r="B6" s="9" t="n">
        <x:f>SUMIFS(C17:C25,$B$17:$B$25,"revenue")</x:f>
        <x:v>500000</x:v>
      </x:c>
      <x:c r="C6" s="9" t="n">
        <x:f>SUMIFS(D17:D25,$B$17:$B$25,"revenue")</x:f>
        <x:v>480000</x:v>
      </x:c>
      <x:c r="D6" s="1"/>
      <x:c r="E6" s="1"/>
      <x:c r="F6" s="1"/>
      <x:c r="G6" s="9"/>
      <x:c r="H6" s="1"/>
      <x:c r="I6" s="1"/>
      <x:c r="J6" s="1"/>
      <x:c r="K6" s="1"/>
    </x:row>
    <x:row r="7" ht="25" customHeight="1">
      <x:c r="A7" s="1" t="str">
        <x:v>Cost of goods sold</x:v>
      </x:c>
      <x:c r="B7" s="9" t="n">
        <x:f>SUMIFS(C17:C25,$B$17:$B$25,"cogs")</x:f>
        <x:v>200000</x:v>
      </x:c>
      <x:c r="C7" s="9" t="n">
        <x:f>SUMIFS(D17:D25,$B$17:$B$25,"cogs")</x:f>
        <x:v>204000</x:v>
      </x:c>
      <x:c r="D7" s="1"/>
      <x:c r="E7" s="1"/>
      <x:c r="F7" s="1" t="str">
        <x:v>EBITDA variance</x:v>
      </x:c>
      <x:c r="G7" s="9" t="n">
        <x:f>C9-B9</x:f>
        <x:v>-56000</x:v>
      </x:c>
      <x:c r="H7" s="1"/>
      <x:c r="I7" s="1"/>
      <x:c r="J7" s="1"/>
      <x:c r="K7" s="1"/>
    </x:row>
    <x:row r="8" ht="25" customHeight="1">
      <x:c r="A8" s="1" t="str">
        <x:v>Operating expenses excl. D&amp;A</x:v>
      </x:c>
      <x:c r="B8" s="9" t="n">
        <x:f>SUMIFS(C17:C25,$B$17:$B$25,"opex")</x:f>
        <x:v>210000</x:v>
      </x:c>
      <x:c r="C8" s="9" t="n">
        <x:f>SUMIFS(D17:D25,$B$17:$B$25,"opex")</x:f>
        <x:v>242000</x:v>
      </x:c>
      <x:c r="D8" s="1"/>
      <x:c r="E8" s="1"/>
      <x:c r="F8" s="1"/>
      <x:c r="G8" s="9"/>
      <x:c r="H8" s="1"/>
      <x:c r="I8" s="1"/>
      <x:c r="J8" s="1"/>
      <x:c r="K8" s="1"/>
    </x:row>
    <x:row r="9" ht="25" customHeight="1">
      <x:c r="A9" s="8" t="str">
        <x:v>EBITDA</x:v>
      </x:c>
      <x:c r="B9" s="10" t="n">
        <x:f>B6-B7-B8</x:f>
        <x:v>90000</x:v>
      </x:c>
      <x:c r="C9" s="10" t="n">
        <x:f>C6-C7-C8</x:f>
        <x:v>34000</x:v>
      </x:c>
      <x:c r="D9" s="1"/>
      <x:c r="E9" s="1"/>
      <x:c r="F9" s="1" t="str">
        <x:v>Bridge tie-out</x:v>
      </x:c>
      <x:c r="G9" s="9" t="n">
        <x:f>SUM(G17:G25)-(C9-B9)</x:f>
        <x:v>0</x:v>
      </x:c>
      <x:c r="H9" s="1"/>
      <x:c r="I9" s="1"/>
      <x:c r="J9" s="1"/>
      <x:c r="K9" s="1"/>
    </x:row>
    <x:row r="10" ht="25" customHeight="1">
      <x:c r="A10" s="1" t="str">
        <x:v>Depreciation</x:v>
      </x:c>
      <x:c r="B10" s="9" t="n">
        <x:f>SUMIFS(C17:C25,$B$17:$B$25,"da")</x:f>
        <x:v>8000</x:v>
      </x:c>
      <x:c r="C10" s="9" t="n">
        <x:f>SUMIFS(D17:D25,$B$17:$B$25,"da")</x:f>
        <x:v>8000</x:v>
      </x:c>
      <x:c r="D10" s="1"/>
      <x:c r="E10" s="1"/>
      <x:c r="F10" s="1" t="str">
        <x:v>Expected tie-out: 0</x:v>
      </x:c>
      <x:c r="G10" s="1"/>
      <x:c r="H10" s="1"/>
      <x:c r="I10" s="1"/>
      <x:c r="J10" s="1"/>
      <x:c r="K10" s="1"/>
    </x:row>
    <x:row r="11" ht="25" customHeight="1">
      <x:c r="A11" s="8" t="str">
        <x:v>Operating profit</x:v>
      </x:c>
      <x:c r="B11" s="10" t="n">
        <x:f>B9-B10</x:f>
        <x:v>82000</x:v>
      </x:c>
      <x:c r="C11" s="10" t="n">
        <x:f>C9-C10</x:f>
        <x:v>26000</x:v>
      </x:c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EBITDA margin</x:v>
      </x:c>
      <x:c r="B12" s="12" t="n">
        <x:f>IF(B6=0,"N/A",B9/B6)</x:f>
        <x:v>0.18</x:v>
      </x:c>
      <x:c r="C12" s="12" t="n">
        <x:f>IF(C6=0,"N/A",C9/C6)</x:f>
        <x:v>0.07083333333333333</x:v>
      </x:c>
      <x:c r="D12" s="1"/>
      <x:c r="E12" s="1"/>
      <x:c r="F12" s="1"/>
      <x:c r="G12" s="1"/>
      <x:c r="H12" s="1"/>
      <x:c r="I12" s="1"/>
      <x:c r="J12" s="1"/>
      <x:c r="K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7" customHeight="1">
      <x:c r="A16" s="7" t="str">
        <x:v>Account</x:v>
      </x:c>
      <x:c r="B16" s="7" t="str">
        <x:v>Kind</x:v>
      </x:c>
      <x:c r="C16" s="7" t="str">
        <x:v>Budget</x:v>
      </x:c>
      <x:c r="D16" s="7" t="str">
        <x:v>Actual</x:v>
      </x:c>
      <x:c r="E16" s="7" t="str">
        <x:v>Variance $</x:v>
      </x:c>
      <x:c r="F16" s="7" t="str">
        <x:v>Variance %</x:v>
      </x:c>
      <x:c r="G16" s="7" t="str">
        <x:v>EBITDA impact</x:v>
      </x:c>
      <x:c r="H16" s="7" t="str">
        <x:v>Review flag</x:v>
      </x:c>
      <x:c r="I16" s="7" t="str">
        <x:v>Aggregate evidence ID</x:v>
      </x:c>
      <x:c r="J16" s="1"/>
      <x:c r="K16" s="1"/>
    </x:row>
    <x:row r="17" ht="27" customHeight="1">
      <x:c r="A17" s="1" t="str">
        <x:f>'Source Data'!B6</x:f>
        <x:v>Revenue</x:v>
      </x:c>
      <x:c r="B17" s="1" t="str">
        <x:f>'Source Data'!C6</x:f>
        <x:v>revenue</x:v>
      </x:c>
      <x:c r="C17" s="15" t="n">
        <x:f>'Source Data'!D6</x:f>
        <x:v>500000</x:v>
      </x:c>
      <x:c r="D17" s="15" t="n">
        <x:f>'Source Data'!E6</x:f>
        <x:v>480000</x:v>
      </x:c>
      <x:c r="E17" s="15" t="n">
        <x:f>D17-C17</x:f>
        <x:v>-20000</x:v>
      </x:c>
      <x:c r="F17" s="16" t="n">
        <x:f>IF(C17=0,"N/A",E17/C17)</x:f>
        <x:v>-0.04</x:v>
      </x:c>
      <x:c r="G17" s="15" t="n">
        <x:f>IF(B17="revenue",E17,IF(B17="da",0,-E17))</x:f>
        <x:v>-20000</x:v>
      </x:c>
      <x:c r="H17" s="1" t="str">
        <x:f>IF(ABS(E17)&gt;=$G$5,"Material","Below threshold")</x:f>
        <x:v>Material</x:v>
      </x:c>
      <x:c r="I17" s="1" t="str">
        <x:f>'Source Data'!F6</x:f>
        <x:v>VAR-2026-09-revenue</x:v>
      </x:c>
      <x:c r="J17" s="1"/>
      <x:c r="K17" s="1"/>
    </x:row>
    <x:row r="18" ht="27" customHeight="1">
      <x:c r="A18" s="1" t="str">
        <x:f>'Source Data'!B7</x:f>
        <x:v>Cost of goods sold</x:v>
      </x:c>
      <x:c r="B18" s="1" t="str">
        <x:f>'Source Data'!C7</x:f>
        <x:v>cogs</x:v>
      </x:c>
      <x:c r="C18" s="15" t="n">
        <x:f>'Source Data'!D7</x:f>
        <x:v>200000</x:v>
      </x:c>
      <x:c r="D18" s="15" t="n">
        <x:f>'Source Data'!E7</x:f>
        <x:v>204000</x:v>
      </x:c>
      <x:c r="E18" s="15" t="n">
        <x:f>D18-C18</x:f>
        <x:v>4000</x:v>
      </x:c>
      <x:c r="F18" s="16" t="n">
        <x:f>IF(C18=0,"N/A",E18/C18)</x:f>
        <x:v>0.02</x:v>
      </x:c>
      <x:c r="G18" s="15" t="n">
        <x:f>IF(B18="revenue",E18,IF(B18="da",0,-E18))</x:f>
        <x:v>-4000</x:v>
      </x:c>
      <x:c r="H18" s="1" t="str">
        <x:f>IF(ABS(E18)&gt;=$G$5,"Material","Below threshold")</x:f>
        <x:v>Below threshold</x:v>
      </x:c>
      <x:c r="I18" s="1" t="str">
        <x:f>'Source Data'!F7</x:f>
        <x:v>VAR-2026-09-cogs</x:v>
      </x:c>
      <x:c r="J18" s="1"/>
      <x:c r="K18" s="1"/>
    </x:row>
    <x:row r="19" ht="27" customHeight="1">
      <x:c r="A19" s="1" t="str">
        <x:f>'Source Data'!B8</x:f>
        <x:v>Cloud services</x:v>
      </x:c>
      <x:c r="B19" s="1" t="str">
        <x:f>'Source Data'!C8</x:f>
        <x:v>opex</x:v>
      </x:c>
      <x:c r="C19" s="15" t="n">
        <x:f>'Source Data'!D8</x:f>
        <x:v>18000</x:v>
      </x:c>
      <x:c r="D19" s="15" t="n">
        <x:f>'Source Data'!E8</x:f>
        <x:v>25200</x:v>
      </x:c>
      <x:c r="E19" s="15" t="n">
        <x:f>D19-C19</x:f>
        <x:v>7200</x:v>
      </x:c>
      <x:c r="F19" s="16" t="n">
        <x:f>IF(C19=0,"N/A",E19/C19)</x:f>
        <x:v>0.4</x:v>
      </x:c>
      <x:c r="G19" s="15" t="n">
        <x:f>IF(B19="revenue",E19,IF(B19="da",0,-E19))</x:f>
        <x:v>-7200</x:v>
      </x:c>
      <x:c r="H19" s="1" t="str">
        <x:f>IF(ABS(E19)&gt;=$G$5,"Material","Below threshold")</x:f>
        <x:v>Material</x:v>
      </x:c>
      <x:c r="I19" s="1" t="str">
        <x:f>'Source Data'!F8</x:f>
        <x:v>VAR-2026-09-cloud</x:v>
      </x:c>
      <x:c r="J19" s="1"/>
      <x:c r="K19" s="1"/>
    </x:row>
    <x:row r="20" ht="27" customHeight="1">
      <x:c r="A20" s="1" t="str">
        <x:f>'Source Data'!B9</x:f>
        <x:v>Depreciation</x:v>
      </x:c>
      <x:c r="B20" s="1" t="str">
        <x:f>'Source Data'!C9</x:f>
        <x:v>da</x:v>
      </x:c>
      <x:c r="C20" s="15" t="n">
        <x:f>'Source Data'!D9</x:f>
        <x:v>8000</x:v>
      </x:c>
      <x:c r="D20" s="15" t="n">
        <x:f>'Source Data'!E9</x:f>
        <x:v>8000</x:v>
      </x:c>
      <x:c r="E20" s="15" t="n">
        <x:f>D20-C20</x:f>
        <x:v>0</x:v>
      </x:c>
      <x:c r="F20" s="16" t="n">
        <x:f>IF(C20=0,"N/A",E20/C20)</x:f>
        <x:v>0</x:v>
      </x:c>
      <x:c r="G20" s="15" t="n">
        <x:f>IF(B20="revenue",E20,IF(B20="da",0,-E20))</x:f>
        <x:v>0</x:v>
      </x:c>
      <x:c r="H20" s="1" t="str">
        <x:f>IF(ABS(E20)&gt;=$G$5,"Material","Below threshold")</x:f>
        <x:v>Below threshold</x:v>
      </x:c>
      <x:c r="I20" s="1" t="str">
        <x:f>'Source Data'!F9</x:f>
        <x:v>VAR-2026-09-depreciation</x:v>
      </x:c>
      <x:c r="J20" s="1"/>
      <x:c r="K20" s="1"/>
    </x:row>
    <x:row r="21" ht="27" customHeight="1">
      <x:c r="A21" s="1" t="str">
        <x:f>'Source Data'!B10</x:f>
        <x:v>Marketing</x:v>
      </x:c>
      <x:c r="B21" s="1" t="str">
        <x:f>'Source Data'!C10</x:f>
        <x:v>opex</x:v>
      </x:c>
      <x:c r="C21" s="15" t="n">
        <x:f>'Source Data'!D10</x:f>
        <x:v>35000</x:v>
      </x:c>
      <x:c r="D21" s="15" t="n">
        <x:f>'Source Data'!E10</x:f>
        <x:v>46000</x:v>
      </x:c>
      <x:c r="E21" s="15" t="n">
        <x:f>D21-C21</x:f>
        <x:v>11000</x:v>
      </x:c>
      <x:c r="F21" s="16" t="n">
        <x:f>IF(C21=0,"N/A",E21/C21)</x:f>
        <x:v>0.3142857142857143</x:v>
      </x:c>
      <x:c r="G21" s="15" t="n">
        <x:f>IF(B21="revenue",E21,IF(B21="da",0,-E21))</x:f>
        <x:v>-11000</x:v>
      </x:c>
      <x:c r="H21" s="1" t="str">
        <x:f>IF(ABS(E21)&gt;=$G$5,"Material","Below threshold")</x:f>
        <x:v>Material</x:v>
      </x:c>
      <x:c r="I21" s="1" t="str">
        <x:f>'Source Data'!F10</x:f>
        <x:v>VAR-2026-09-marketing</x:v>
      </x:c>
      <x:c r="J21" s="1"/>
      <x:c r="K21" s="1"/>
    </x:row>
    <x:row r="22" ht="27" customHeight="1">
      <x:c r="A22" s="1" t="str">
        <x:f>'Source Data'!B11</x:f>
        <x:v>Payroll</x:v>
      </x:c>
      <x:c r="B22" s="1" t="str">
        <x:f>'Source Data'!C11</x:f>
        <x:v>opex</x:v>
      </x:c>
      <x:c r="C22" s="15" t="n">
        <x:f>'Source Data'!D11</x:f>
        <x:v>130000</x:v>
      </x:c>
      <x:c r="D22" s="15" t="n">
        <x:f>'Source Data'!E11</x:f>
        <x:v>136000</x:v>
      </x:c>
      <x:c r="E22" s="15" t="n">
        <x:f>D22-C22</x:f>
        <x:v>6000</x:v>
      </x:c>
      <x:c r="F22" s="16" t="n">
        <x:f>IF(C22=0,"N/A",E22/C22)</x:f>
        <x:v>0.046153846153846156</x:v>
      </x:c>
      <x:c r="G22" s="15" t="n">
        <x:f>IF(B22="revenue",E22,IF(B22="da",0,-E22))</x:f>
        <x:v>-6000</x:v>
      </x:c>
      <x:c r="H22" s="1" t="str">
        <x:f>IF(ABS(E22)&gt;=$G$5,"Material","Below threshold")</x:f>
        <x:v>Material</x:v>
      </x:c>
      <x:c r="I22" s="1" t="str">
        <x:f>'Source Data'!F11</x:f>
        <x:v>VAR-2026-09-payroll</x:v>
      </x:c>
      <x:c r="J22" s="1"/>
      <x:c r="K22" s="1"/>
    </x:row>
    <x:row r="23" ht="27" customHeight="1">
      <x:c r="A23" s="1" t="str">
        <x:f>'Source Data'!B12</x:f>
        <x:v>Professional fees</x:v>
      </x:c>
      <x:c r="B23" s="1" t="str">
        <x:f>'Source Data'!C12</x:f>
        <x:v>opex</x:v>
      </x:c>
      <x:c r="C23" s="15" t="n">
        <x:f>'Source Data'!D12</x:f>
        <x:v>10000</x:v>
      </x:c>
      <x:c r="D23" s="15" t="n">
        <x:f>'Source Data'!E12</x:f>
        <x:v>16000</x:v>
      </x:c>
      <x:c r="E23" s="15" t="n">
        <x:f>D23-C23</x:f>
        <x:v>6000</x:v>
      </x:c>
      <x:c r="F23" s="16" t="n">
        <x:f>IF(C23=0,"N/A",E23/C23)</x:f>
        <x:v>0.6</x:v>
      </x:c>
      <x:c r="G23" s="15" t="n">
        <x:f>IF(B23="revenue",E23,IF(B23="da",0,-E23))</x:f>
        <x:v>-6000</x:v>
      </x:c>
      <x:c r="H23" s="1" t="str">
        <x:f>IF(ABS(E23)&gt;=$G$5,"Material","Below threshold")</x:f>
        <x:v>Material</x:v>
      </x:c>
      <x:c r="I23" s="1" t="str">
        <x:f>'Source Data'!F12</x:f>
        <x:v>VAR-2026-09-professional</x:v>
      </x:c>
      <x:c r="J23" s="1"/>
      <x:c r="K23" s="1"/>
    </x:row>
    <x:row r="24" ht="27" customHeight="1">
      <x:c r="A24" s="1" t="str">
        <x:f>'Source Data'!B13</x:f>
        <x:v>Rent</x:v>
      </x:c>
      <x:c r="B24" s="1" t="str">
        <x:f>'Source Data'!C13</x:f>
        <x:v>opex</x:v>
      </x:c>
      <x:c r="C24" s="15" t="n">
        <x:f>'Source Data'!D13</x:f>
        <x:v>12000</x:v>
      </x:c>
      <x:c r="D24" s="15" t="n">
        <x:f>'Source Data'!E13</x:f>
        <x:v>12000</x:v>
      </x:c>
      <x:c r="E24" s="15" t="n">
        <x:f>D24-C24</x:f>
        <x:v>0</x:v>
      </x:c>
      <x:c r="F24" s="16" t="n">
        <x:f>IF(C24=0,"N/A",E24/C24)</x:f>
        <x:v>0</x:v>
      </x:c>
      <x:c r="G24" s="15" t="n">
        <x:f>IF(B24="revenue",E24,IF(B24="da",0,-E24))</x:f>
        <x:v>0</x:v>
      </x:c>
      <x:c r="H24" s="1" t="str">
        <x:f>IF(ABS(E24)&gt;=$G$5,"Material","Below threshold")</x:f>
        <x:v>Below threshold</x:v>
      </x:c>
      <x:c r="I24" s="1" t="str">
        <x:f>'Source Data'!F13</x:f>
        <x:v>VAR-2026-09-rent</x:v>
      </x:c>
      <x:c r="J24" s="1"/>
      <x:c r="K24" s="1"/>
    </x:row>
    <x:row r="25" ht="27" customHeight="1">
      <x:c r="A25" s="1" t="str">
        <x:f>'Source Data'!B14</x:f>
        <x:v>Travel</x:v>
      </x:c>
      <x:c r="B25" s="1" t="str">
        <x:f>'Source Data'!C14</x:f>
        <x:v>opex</x:v>
      </x:c>
      <x:c r="C25" s="15" t="n">
        <x:f>'Source Data'!D14</x:f>
        <x:v>5000</x:v>
      </x:c>
      <x:c r="D25" s="15" t="n">
        <x:f>'Source Data'!E14</x:f>
        <x:v>6800</x:v>
      </x:c>
      <x:c r="E25" s="15" t="n">
        <x:f>D25-C25</x:f>
        <x:v>1800</x:v>
      </x:c>
      <x:c r="F25" s="16" t="n">
        <x:f>IF(C25=0,"N/A",E25/C25)</x:f>
        <x:v>0.36</x:v>
      </x:c>
      <x:c r="G25" s="15" t="n">
        <x:f>IF(B25="revenue",E25,IF(B25="da",0,-E25))</x:f>
        <x:v>-1800</x:v>
      </x:c>
      <x:c r="H25" s="1" t="str">
        <x:f>IF(ABS(E25)&gt;=$G$5,"Material","Below threshold")</x:f>
        <x:v>Below threshold</x:v>
      </x:c>
      <x:c r="I25" s="1" t="str">
        <x:f>'Source Data'!F14</x:f>
        <x:v>VAR-2026-09-travel</x:v>
      </x:c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 t="str">
        <x:v>Variance = actual minus budget. Higher costs and lower revenue reduce EBITDA. D&amp;A has no EBITDA impact.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 t="str">
        <x:v>Materiality: absolute dollar variance at least the selected threshold. The bridge includes every variance.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 t="str">
        <x:v>LLM review is in the dashboard. This workbook calculates the numbers and does not call an LLM.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 t="str">
        <x:v>CLOUD EVIDENCE: invoice-to-ledger agreement is documented; usage and pricing drivers remain unverified.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conditionalFormatting sqref="H17:H25">
    <x:cfRule type="expression" dxfId="0" priority="1">
      <x:formula>H17="Material"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ED8C8"/>
  </x:sheetPr>
  <x:sheetViews>
    <x:sheetView showGridLines="0" workbookViewId="0"/>
  </x:sheetViews>
  <x:sheetFormatPr defaultRowHeight="15"/>
  <x:cols>
    <x:col min="1" max="1" width="16.670000076293945" hidden="0" customWidth="1"/>
    <x:col min="2" max="2" width="26.110000610351562" hidden="0" customWidth="1"/>
    <x:col min="3" max="3" width="11.109999656677246" hidden="0" customWidth="1"/>
    <x:col min="4" max="4" width="15" hidden="0" customWidth="1"/>
    <x:col min="5" max="5" width="15" hidden="0" customWidth="1"/>
    <x:col min="6" max="6" width="28.8899993896484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Synthetic September source aggregates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Aggregated from 108 September ledger records and 9 budget entries. Full detail is in the CSV / SQLite files.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7" t="str">
        <x:v>Key</x:v>
      </x:c>
      <x:c r="B5" s="7" t="str">
        <x:v>Account</x:v>
      </x:c>
      <x:c r="C5" s="7" t="str">
        <x:v>Kind</x:v>
      </x:c>
      <x:c r="D5" s="7" t="str">
        <x:v>Budget USD</x:v>
      </x:c>
      <x:c r="E5" s="7" t="str">
        <x:v>Actual USD</x:v>
      </x:c>
      <x:c r="F5" s="7" t="str">
        <x:v>Evidence ID</x:v>
      </x:c>
      <x:c r="G5" s="1"/>
      <x:c r="H5" s="1"/>
      <x:c r="I5" s="1"/>
      <x:c r="J5" s="1"/>
      <x:c r="K5" s="1"/>
    </x:row>
    <x:row r="6" ht="25" customHeight="1">
      <x:c r="A6" s="1" t="str">
        <x:v>revenue</x:v>
      </x:c>
      <x:c r="B6" s="1" t="str">
        <x:v>Revenue</x:v>
      </x:c>
      <x:c r="C6" s="1" t="str">
        <x:v>revenue</x:v>
      </x:c>
      <x:c r="D6" s="14" t="n">
        <x:v>500000</x:v>
      </x:c>
      <x:c r="E6" s="14" t="n">
        <x:v>480000</x:v>
      </x:c>
      <x:c r="F6" s="1" t="str">
        <x:v>VAR-2026-09-revenue</x:v>
      </x:c>
      <x:c r="G6" s="1"/>
      <x:c r="H6" s="1"/>
      <x:c r="I6" s="1"/>
      <x:c r="J6" s="1"/>
      <x:c r="K6" s="1"/>
    </x:row>
    <x:row r="7" ht="25" customHeight="1">
      <x:c r="A7" s="1" t="str">
        <x:v>cogs</x:v>
      </x:c>
      <x:c r="B7" s="1" t="str">
        <x:v>Cost of goods sold</x:v>
      </x:c>
      <x:c r="C7" s="1" t="str">
        <x:v>cogs</x:v>
      </x:c>
      <x:c r="D7" s="14" t="n">
        <x:v>200000</x:v>
      </x:c>
      <x:c r="E7" s="14" t="n">
        <x:v>204000</x:v>
      </x:c>
      <x:c r="F7" s="1" t="str">
        <x:v>VAR-2026-09-cogs</x:v>
      </x:c>
      <x:c r="G7" s="1"/>
      <x:c r="H7" s="1"/>
      <x:c r="I7" s="1"/>
      <x:c r="J7" s="1"/>
      <x:c r="K7" s="1"/>
    </x:row>
    <x:row r="8" ht="25" customHeight="1">
      <x:c r="A8" s="1" t="str">
        <x:v>cloud</x:v>
      </x:c>
      <x:c r="B8" s="1" t="str">
        <x:v>Cloud services</x:v>
      </x:c>
      <x:c r="C8" s="1" t="str">
        <x:v>opex</x:v>
      </x:c>
      <x:c r="D8" s="14" t="n">
        <x:v>18000</x:v>
      </x:c>
      <x:c r="E8" s="14" t="n">
        <x:v>25200</x:v>
      </x:c>
      <x:c r="F8" s="1" t="str">
        <x:v>VAR-2026-09-cloud</x:v>
      </x:c>
      <x:c r="G8" s="1"/>
      <x:c r="H8" s="1"/>
      <x:c r="I8" s="1"/>
      <x:c r="J8" s="1"/>
      <x:c r="K8" s="1"/>
    </x:row>
    <x:row r="9" ht="25" customHeight="1">
      <x:c r="A9" s="1" t="str">
        <x:v>depreciation</x:v>
      </x:c>
      <x:c r="B9" s="1" t="str">
        <x:v>Depreciation</x:v>
      </x:c>
      <x:c r="C9" s="1" t="str">
        <x:v>da</x:v>
      </x:c>
      <x:c r="D9" s="14" t="n">
        <x:v>8000</x:v>
      </x:c>
      <x:c r="E9" s="14" t="n">
        <x:v>8000</x:v>
      </x:c>
      <x:c r="F9" s="1" t="str">
        <x:v>VAR-2026-09-depreciation</x:v>
      </x:c>
      <x:c r="G9" s="1"/>
      <x:c r="H9" s="1"/>
      <x:c r="I9" s="1"/>
      <x:c r="J9" s="1"/>
      <x:c r="K9" s="1"/>
    </x:row>
    <x:row r="10" ht="25" customHeight="1">
      <x:c r="A10" s="1" t="str">
        <x:v>marketing</x:v>
      </x:c>
      <x:c r="B10" s="1" t="str">
        <x:v>Marketing</x:v>
      </x:c>
      <x:c r="C10" s="1" t="str">
        <x:v>opex</x:v>
      </x:c>
      <x:c r="D10" s="14" t="n">
        <x:v>35000</x:v>
      </x:c>
      <x:c r="E10" s="14" t="n">
        <x:v>46000</x:v>
      </x:c>
      <x:c r="F10" s="1" t="str">
        <x:v>VAR-2026-09-marketing</x:v>
      </x:c>
      <x:c r="G10" s="1"/>
      <x:c r="H10" s="1"/>
      <x:c r="I10" s="1"/>
      <x:c r="J10" s="1"/>
      <x:c r="K10" s="1"/>
    </x:row>
    <x:row r="11" ht="25" customHeight="1">
      <x:c r="A11" s="1" t="str">
        <x:v>payroll</x:v>
      </x:c>
      <x:c r="B11" s="1" t="str">
        <x:v>Payroll</x:v>
      </x:c>
      <x:c r="C11" s="1" t="str">
        <x:v>opex</x:v>
      </x:c>
      <x:c r="D11" s="14" t="n">
        <x:v>130000</x:v>
      </x:c>
      <x:c r="E11" s="14" t="n">
        <x:v>136000</x:v>
      </x:c>
      <x:c r="F11" s="1" t="str">
        <x:v>VAR-2026-09-payroll</x:v>
      </x:c>
      <x:c r="G11" s="1"/>
      <x:c r="H11" s="1"/>
      <x:c r="I11" s="1"/>
      <x:c r="J11" s="1"/>
      <x:c r="K11" s="1"/>
    </x:row>
    <x:row r="12" ht="25" customHeight="1">
      <x:c r="A12" s="1" t="str">
        <x:v>professional</x:v>
      </x:c>
      <x:c r="B12" s="1" t="str">
        <x:v>Professional fees</x:v>
      </x:c>
      <x:c r="C12" s="1" t="str">
        <x:v>opex</x:v>
      </x:c>
      <x:c r="D12" s="14" t="n">
        <x:v>10000</x:v>
      </x:c>
      <x:c r="E12" s="14" t="n">
        <x:v>16000</x:v>
      </x:c>
      <x:c r="F12" s="1" t="str">
        <x:v>VAR-2026-09-professional</x:v>
      </x:c>
      <x:c r="G12" s="1"/>
      <x:c r="H12" s="1"/>
      <x:c r="I12" s="1"/>
      <x:c r="J12" s="1"/>
      <x:c r="K12" s="1"/>
    </x:row>
    <x:row r="13" ht="25" customHeight="1">
      <x:c r="A13" s="1" t="str">
        <x:v>rent</x:v>
      </x:c>
      <x:c r="B13" s="1" t="str">
        <x:v>Rent</x:v>
      </x:c>
      <x:c r="C13" s="1" t="str">
        <x:v>opex</x:v>
      </x:c>
      <x:c r="D13" s="14" t="n">
        <x:v>12000</x:v>
      </x:c>
      <x:c r="E13" s="14" t="n">
        <x:v>12000</x:v>
      </x:c>
      <x:c r="F13" s="1" t="str">
        <x:v>VAR-2026-09-rent</x:v>
      </x:c>
      <x:c r="G13" s="1"/>
      <x:c r="H13" s="1"/>
      <x:c r="I13" s="1"/>
      <x:c r="J13" s="1"/>
      <x:c r="K13" s="1"/>
    </x:row>
    <x:row r="14" ht="25" customHeight="1">
      <x:c r="A14" s="1" t="str">
        <x:v>travel</x:v>
      </x:c>
      <x:c r="B14" s="1" t="str">
        <x:v>Travel</x:v>
      </x:c>
      <x:c r="C14" s="1" t="str">
        <x:v>opex</x:v>
      </x:c>
      <x:c r="D14" s="14" t="n">
        <x:v>5000</x:v>
      </x:c>
      <x:c r="E14" s="14" t="n">
        <x:v>6800</x:v>
      </x:c>
      <x:c r="F14" s="1" t="str">
        <x:v>VAR-2026-09-travel</x:v>
      </x:c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 t="str">
        <x:v>Source: bundled data/*.csv; all values and management notes are synthetic.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 t="str">
        <x:v>Edit blue budget / actual inputs to explore the Excel model.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 t="str">
        <x:v>This workbook is a snapshot; the Python pipeline separately refreshes the HTML, CSV, JSON and SQLite outputs.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</x:sheetData>
  <x:pageMargins left="0.7" right="0.7" top="0.75" bottom="0.75" header="0.3" footer="0.3"/>
</x:worksheet>
</file>