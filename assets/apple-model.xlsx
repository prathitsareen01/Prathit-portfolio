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prathitsareen/Downloads/"/>
    </mc:Choice>
  </mc:AlternateContent>
  <xr:revisionPtr revIDLastSave="0" documentId="13_ncr:1_{2BF298C2-7125-EE43-942D-914A5E598372}" xr6:coauthVersionLast="47" xr6:coauthVersionMax="47" xr10:uidLastSave="{00000000-0000-0000-0000-000000000000}"/>
  <bookViews>
    <workbookView xWindow="0" yWindow="780" windowWidth="34200" windowHeight="21460" tabRatio="500" xr2:uid="{00000000-000D-0000-FFFF-FFFF00000000}"/>
  </bookViews>
  <sheets>
    <sheet name="Cover" sheetId="1" r:id="rId1"/>
    <sheet name="Income Statement" sheetId="2" r:id="rId2"/>
    <sheet name="Segment Analysis" sheetId="3" r:id="rId3"/>
    <sheet name="Scenario Model" sheetId="4" r:id="rId4"/>
    <sheet name="DCF Valuation" sheetId="5" r:id="rId5"/>
    <sheet name="Risk Dashboard" sheetId="6" r:id="rId6"/>
    <sheet name="Analyst Consensus"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7" i="5" l="1"/>
  <c r="F31" i="5" s="1"/>
  <c r="G26" i="5"/>
  <c r="G27" i="5" s="1"/>
  <c r="G31" i="5" s="1"/>
  <c r="F26" i="5"/>
  <c r="E26" i="5"/>
  <c r="E27" i="5" s="1"/>
  <c r="E31" i="5" s="1"/>
  <c r="D26" i="5"/>
  <c r="D27" i="5" s="1"/>
  <c r="D31" i="5" s="1"/>
  <c r="C26" i="5"/>
  <c r="C27" i="5" s="1"/>
  <c r="C31" i="5" s="1"/>
  <c r="C12" i="5"/>
  <c r="C9" i="5"/>
  <c r="C15" i="5" s="1"/>
  <c r="M20" i="4"/>
  <c r="L20" i="4"/>
  <c r="K20" i="4"/>
  <c r="I20" i="4"/>
  <c r="H20" i="4"/>
  <c r="G20" i="4"/>
  <c r="E20" i="4"/>
  <c r="D20" i="4"/>
  <c r="C20" i="4"/>
  <c r="M18" i="4"/>
  <c r="L18" i="4"/>
  <c r="K18" i="4"/>
  <c r="I18" i="4"/>
  <c r="H18" i="4"/>
  <c r="G18" i="4"/>
  <c r="E18" i="4"/>
  <c r="D18" i="4"/>
  <c r="C18" i="4"/>
  <c r="M16" i="4"/>
  <c r="L16" i="4"/>
  <c r="K16" i="4"/>
  <c r="I16" i="4"/>
  <c r="H16" i="4"/>
  <c r="G16" i="4"/>
  <c r="E16" i="4"/>
  <c r="D16" i="4"/>
  <c r="C16" i="4"/>
  <c r="M8" i="4"/>
  <c r="L8" i="4"/>
  <c r="K8" i="4"/>
  <c r="I8" i="4"/>
  <c r="H8" i="4"/>
  <c r="G8" i="4"/>
  <c r="E8" i="4"/>
  <c r="D8" i="4"/>
  <c r="C8" i="4"/>
  <c r="I26" i="3"/>
  <c r="H26" i="3"/>
  <c r="G26" i="3"/>
  <c r="F26" i="3"/>
  <c r="E26" i="3"/>
  <c r="D26" i="3"/>
  <c r="I25" i="3"/>
  <c r="H25" i="3"/>
  <c r="G25" i="3"/>
  <c r="F25" i="3"/>
  <c r="E25" i="3"/>
  <c r="D25" i="3"/>
  <c r="I24" i="3"/>
  <c r="H24" i="3"/>
  <c r="G24" i="3"/>
  <c r="F24" i="3"/>
  <c r="E24" i="3"/>
  <c r="D24" i="3"/>
  <c r="F14" i="3"/>
  <c r="E14" i="3"/>
  <c r="D14" i="3"/>
  <c r="C14" i="3"/>
  <c r="I31" i="2"/>
  <c r="H31" i="2"/>
  <c r="G31" i="2"/>
  <c r="F31" i="2"/>
  <c r="E31" i="2"/>
  <c r="D31" i="2"/>
  <c r="C31" i="2"/>
  <c r="I26" i="2"/>
  <c r="H26" i="2"/>
  <c r="G26" i="2"/>
  <c r="F26" i="2"/>
  <c r="E26" i="2"/>
  <c r="D26" i="2"/>
  <c r="C26" i="2"/>
  <c r="I19" i="2"/>
  <c r="H19" i="2"/>
  <c r="G19" i="2"/>
  <c r="F19" i="2"/>
  <c r="E19" i="2"/>
  <c r="D19" i="2"/>
  <c r="C19" i="2"/>
  <c r="I13" i="2"/>
  <c r="H13" i="2"/>
  <c r="G13" i="2"/>
  <c r="F13" i="2"/>
  <c r="E13" i="2"/>
  <c r="D13" i="2"/>
  <c r="C36" i="5" l="1"/>
  <c r="C37" i="5"/>
  <c r="C38" i="5" s="1"/>
  <c r="C32" i="5"/>
  <c r="C33" i="5" s="1"/>
  <c r="D32" i="5"/>
  <c r="D33" i="5" s="1"/>
  <c r="E32" i="5"/>
  <c r="E33" i="5" s="1"/>
  <c r="F32" i="5"/>
  <c r="F33" i="5" s="1"/>
  <c r="G32" i="5"/>
  <c r="G33" i="5" s="1"/>
  <c r="C39" i="5" s="1"/>
  <c r="C40" i="5" s="1"/>
  <c r="C42" i="5" s="1"/>
  <c r="C44" i="5" s="1"/>
  <c r="C46" i="5" s="1"/>
</calcChain>
</file>

<file path=xl/sharedStrings.xml><?xml version="1.0" encoding="utf-8"?>
<sst xmlns="http://schemas.openxmlformats.org/spreadsheetml/2006/main" count="298" uniqueCount="258">
  <si>
    <t>APPLE INC. (AAPL)</t>
  </si>
  <si>
    <t>Comprehensive Financial Model &amp; Market Analysis</t>
  </si>
  <si>
    <t>NASDAQ: AAPL  ·  April 2026  ·  Fiscal Year Ending September</t>
  </si>
  <si>
    <t>Model Prepared: April 15, 2026</t>
  </si>
  <si>
    <t>Data Sources: Apple SEC Filings, Analyst Reports</t>
  </si>
  <si>
    <t>FY2025 REVENUE</t>
  </si>
  <si>
    <t>NET INCOME</t>
  </si>
  <si>
    <t>SERVICES REV</t>
  </si>
  <si>
    <t>DILUTED EPS</t>
  </si>
  <si>
    <t>$416B</t>
  </si>
  <si>
    <t>$112B</t>
  </si>
  <si>
    <t>$109B</t>
  </si>
  <si>
    <t>$7.46</t>
  </si>
  <si>
    <t>+6.4% YoY</t>
  </si>
  <si>
    <t>+19.5% YoY</t>
  </si>
  <si>
    <t>+13.5% YoY</t>
  </si>
  <si>
    <t>+22.7% YoY</t>
  </si>
  <si>
    <t>MODEL CONTENTS</t>
  </si>
  <si>
    <t xml:space="preserve">  Income Statement</t>
  </si>
  <si>
    <t xml:space="preserve">  Historical P&amp;L + 3-year projections (FY2022–FY2028E)</t>
  </si>
  <si>
    <t xml:space="preserve">  Segment Analysis</t>
  </si>
  <si>
    <t xml:space="preserve">  Revenue by product line &amp; geography with growth rates</t>
  </si>
  <si>
    <t xml:space="preserve">  Scenario Model</t>
  </si>
  <si>
    <t xml:space="preserve">  Bull / Base / Bear scenario revenue &amp; EPS projections</t>
  </si>
  <si>
    <t xml:space="preserve">  DCF Valuation</t>
  </si>
  <si>
    <t xml:space="preserve">  Discounted Cash Flow model with WACC and terminal value</t>
  </si>
  <si>
    <t xml:space="preserve">  Risk Dashboard</t>
  </si>
  <si>
    <t xml:space="preserve">  Macro risk scoring: tariffs, China, AI, regulatory</t>
  </si>
  <si>
    <t xml:space="preserve">  Analyst Consensus</t>
  </si>
  <si>
    <t xml:space="preserve">  Wall Street price targets, ratings &amp; valuation multiples</t>
  </si>
  <si>
    <t>DISCLAIMER: This financial model is for informational purposes only and does not constitute investment advice. All projections are estimates based on publicly available data. Past performance does not guarantee future results. Sources: Apple Inc. SEC Filings (FY2022–FY2025), Q1 FY2026 Earnings Release, Morgan Stanley, BofA, Barclays, Wedbush analyst reports.</t>
  </si>
  <si>
    <t>APPLE INC. (AAPL)  —  INCOME STATEMENT &amp; PROJECTIONS</t>
  </si>
  <si>
    <t>USD in Millions  ·  Source: Apple SEC Filings (FY2022–FY2025); FY2026–FY2028E = Financial Model Projections</t>
  </si>
  <si>
    <t>($mm unless noted)</t>
  </si>
  <si>
    <t>FY2022A</t>
  </si>
  <si>
    <t>FY2023A</t>
  </si>
  <si>
    <t>FY2024A</t>
  </si>
  <si>
    <t>FY2025A</t>
  </si>
  <si>
    <t>FY2026E</t>
  </si>
  <si>
    <t>FY2027E</t>
  </si>
  <si>
    <t>FY2028E</t>
  </si>
  <si>
    <t>REVENUE</t>
  </si>
  <si>
    <t xml:space="preserve">  iPhone</t>
  </si>
  <si>
    <t xml:space="preserve">  Mac</t>
  </si>
  <si>
    <t xml:space="preserve">  iPad</t>
  </si>
  <si>
    <t xml:space="preserve">  Wearables, Home &amp; Accessories</t>
  </si>
  <si>
    <t xml:space="preserve">  Services</t>
  </si>
  <si>
    <t xml:space="preserve">  Total Net Sales</t>
  </si>
  <si>
    <t xml:space="preserve">  YoY Growth %</t>
  </si>
  <si>
    <t>-</t>
  </si>
  <si>
    <t>COST OF REVENUE</t>
  </si>
  <si>
    <t xml:space="preserve">  Cost of Products</t>
  </si>
  <si>
    <t xml:space="preserve">  Cost of Services</t>
  </si>
  <si>
    <t xml:space="preserve">  Total Cost of Revenue</t>
  </si>
  <si>
    <t xml:space="preserve">  Gross Profit</t>
  </si>
  <si>
    <t xml:space="preserve">  Gross Margin %</t>
  </si>
  <si>
    <t>OPERATING EXPENSES</t>
  </si>
  <si>
    <t xml:space="preserve">  Research &amp; Development</t>
  </si>
  <si>
    <t xml:space="preserve">  Selling, General &amp; Administrative</t>
  </si>
  <si>
    <t xml:space="preserve">  Total Operating Expenses</t>
  </si>
  <si>
    <t>PROFITABILITY</t>
  </si>
  <si>
    <t xml:space="preserve">  Operating Income (EBIT)</t>
  </si>
  <si>
    <t xml:space="preserve">  Operating Margin %</t>
  </si>
  <si>
    <t xml:space="preserve">  Interest &amp; Other Income, net</t>
  </si>
  <si>
    <t xml:space="preserve">  Income Before Tax</t>
  </si>
  <si>
    <t xml:space="preserve">  Provision for Income Taxes</t>
  </si>
  <si>
    <t xml:space="preserve">  Net Income</t>
  </si>
  <si>
    <t xml:space="preserve">  Net Margin %</t>
  </si>
  <si>
    <t>PER SHARE DATA</t>
  </si>
  <si>
    <t xml:space="preserve">  Basic EPS</t>
  </si>
  <si>
    <t xml:space="preserve">  Diluted EPS</t>
  </si>
  <si>
    <t xml:space="preserve">  Shares Outstanding - Basic (mm)</t>
  </si>
  <si>
    <t xml:space="preserve">  Dividends Per Share</t>
  </si>
  <si>
    <t>APPLE INC. — SEGMENT &amp; GEOGRAPHIC REVENUE ANALYSIS</t>
  </si>
  <si>
    <t>USD in Millions  ·  Source: Apple Inc. SEC Form 8-K &amp; Annual Reports</t>
  </si>
  <si>
    <t>Segment ($mm)</t>
  </si>
  <si>
    <t>PRODUCT REVENUE</t>
  </si>
  <si>
    <t xml:space="preserve">  Total Products</t>
  </si>
  <si>
    <t>SERVICES REVENUE</t>
  </si>
  <si>
    <t xml:space="preserve">  % of Total Revenue</t>
  </si>
  <si>
    <t xml:space="preserve">  TOTAL NET SALES</t>
  </si>
  <si>
    <t>GEOGRAPHIC REVENUE</t>
  </si>
  <si>
    <t xml:space="preserve">  Americas</t>
  </si>
  <si>
    <t xml:space="preserve">  Europe</t>
  </si>
  <si>
    <t xml:space="preserve">  Greater China</t>
  </si>
  <si>
    <t xml:space="preserve">  Japan</t>
  </si>
  <si>
    <t xml:space="preserve">  Rest of Asia Pacific</t>
  </si>
  <si>
    <t xml:space="preserve">  Total Geographic</t>
  </si>
  <si>
    <t>GROWTH RATES</t>
  </si>
  <si>
    <t xml:space="preserve">  iPhone YoY %</t>
  </si>
  <si>
    <t xml:space="preserve">  Services YoY %</t>
  </si>
  <si>
    <t xml:space="preserve">  Total Revenue YoY %</t>
  </si>
  <si>
    <t>APPLE INC. — THREE-SCENARIO FINANCIAL MODEL (BASE / BULL / BEAR)</t>
  </si>
  <si>
    <t>USD in Millions  ·  FY2026E–FY2028E  ·  Sensitivity to Macro, Tariff &amp; AI Variables</t>
  </si>
  <si>
    <t>Metric ($mm)</t>
  </si>
  <si>
    <t>BASE CASE</t>
  </si>
  <si>
    <t>BULL CASE</t>
  </si>
  <si>
    <t>BEAR CASE</t>
  </si>
  <si>
    <t xml:space="preserve">  Total Revenue</t>
  </si>
  <si>
    <t xml:space="preserve">  YoY Revenue Growth</t>
  </si>
  <si>
    <t xml:space="preserve">  EBIT / Operating Income</t>
  </si>
  <si>
    <t xml:space="preserve">  EPS Growth %</t>
  </si>
  <si>
    <t xml:space="preserve">  Services Revenue</t>
  </si>
  <si>
    <t xml:space="preserve">  Services Mix %</t>
  </si>
  <si>
    <t xml:space="preserve">  Free Cash Flow</t>
  </si>
  <si>
    <t xml:space="preserve">  FCF Margin %</t>
  </si>
  <si>
    <t xml:space="preserve">  Share Buybacks</t>
  </si>
  <si>
    <t xml:space="preserve">  Dividends Paid</t>
  </si>
  <si>
    <t>KEY SCENARIO ASSUMPTIONS</t>
  </si>
  <si>
    <t>Base Case</t>
  </si>
  <si>
    <t>Moderate AI rollout. Tariff cost ~$3.5B absorbed. China flat-to-slight growth. Services +13% pa. iPhone steady upgrade cycle. India ramp contributes.</t>
  </si>
  <si>
    <t>Bull Case</t>
  </si>
  <si>
    <t>Full Apple Intelligence integration drives supercycle. China revenue +20% recovery. Siri/Gemini AI exceeds expectations. Foldable iPhone launch late FY2026. Services +18% pa.</t>
  </si>
  <si>
    <t>Bear Case</t>
  </si>
  <si>
    <t>Tariff escalation to 145%+ increases costs $6B+. China demand -10%. AI delays vs. competitors. Consumer recession reduces premium device demand. App Store regulatory fees cut margins.</t>
  </si>
  <si>
    <t>APPLE INC. — DISCOUNTED CASH FLOW VALUATION</t>
  </si>
  <si>
    <t>USD in Millions  ·  Base Case  ·  FY2025A Actuals + FY2026E–FY2030E Projections</t>
  </si>
  <si>
    <t>WACC ASSUMPTIONS</t>
  </si>
  <si>
    <t xml:space="preserve">  Risk-Free Rate (10Y UST)</t>
  </si>
  <si>
    <t xml:space="preserve">  Equity Risk Premium</t>
  </si>
  <si>
    <t xml:space="preserve">  Apple Beta (5Y monthly)</t>
  </si>
  <si>
    <t xml:space="preserve">  Cost of Equity (CAPM)</t>
  </si>
  <si>
    <t xml:space="preserve">  Pre-Tax Cost of Debt</t>
  </si>
  <si>
    <t xml:space="preserve">  Tax Rate</t>
  </si>
  <si>
    <t xml:space="preserve">  After-Tax Cost of Debt</t>
  </si>
  <si>
    <t xml:space="preserve">  Weight of Equity</t>
  </si>
  <si>
    <t xml:space="preserve">  Weight of Debt</t>
  </si>
  <si>
    <t xml:space="preserve">  WACC</t>
  </si>
  <si>
    <t xml:space="preserve">  Terminal Growth Rate</t>
  </si>
  <si>
    <t xml:space="preserve">  Discount Period Start</t>
  </si>
  <si>
    <t>FREE CASH FLOW PROJECTIONS</t>
  </si>
  <si>
    <t>FY2029E</t>
  </si>
  <si>
    <t>FY2030E</t>
  </si>
  <si>
    <t xml:space="preserve">  Revenue</t>
  </si>
  <si>
    <t xml:space="preserve">  (-) COGS</t>
  </si>
  <si>
    <t xml:space="preserve">  = Gross Profit</t>
  </si>
  <si>
    <t xml:space="preserve">  (-) OpEx</t>
  </si>
  <si>
    <t xml:space="preserve">  = EBIT</t>
  </si>
  <si>
    <t xml:space="preserve">  (-) Taxes @ 14.8%</t>
  </si>
  <si>
    <t xml:space="preserve">  = NOPAT</t>
  </si>
  <si>
    <t xml:space="preserve">  (+) D&amp;A</t>
  </si>
  <si>
    <t xml:space="preserve">  (-) CapEx</t>
  </si>
  <si>
    <t xml:space="preserve">  (-) Change in NWC</t>
  </si>
  <si>
    <t xml:space="preserve">  = Free Cash Flow</t>
  </si>
  <si>
    <t xml:space="preserve">  Discount Factor</t>
  </si>
  <si>
    <t xml:space="preserve">  PV of FCF</t>
  </si>
  <si>
    <t>TERMINAL VALUE &amp; EQUITY VALUE</t>
  </si>
  <si>
    <t xml:space="preserve">  Terminal Year FCF</t>
  </si>
  <si>
    <t xml:space="preserve">  Terminal Value (Gordon Growth)</t>
  </si>
  <si>
    <t xml:space="preserve">  PV of Terminal Value</t>
  </si>
  <si>
    <t xml:space="preserve">  Sum of PV of FCFs</t>
  </si>
  <si>
    <t xml:space="preserve">  Enterprise Value</t>
  </si>
  <si>
    <t xml:space="preserve">  (-) Net Debt</t>
  </si>
  <si>
    <t xml:space="preserve">  Equity Value</t>
  </si>
  <si>
    <t xml:space="preserve">  Shares Outstanding (mm)</t>
  </si>
  <si>
    <t xml:space="preserve">  Implied Share Price</t>
  </si>
  <si>
    <t xml:space="preserve">  Current Market Price</t>
  </si>
  <si>
    <t xml:space="preserve">  Upside / (Downside)</t>
  </si>
  <si>
    <t>APPLE INC. — MACRO &amp; GEOPOLITICAL RISK DASHBOARD</t>
  </si>
  <si>
    <t>Risk scoring 1–10 (10 = highest risk) · Qualitative + quantitative assessment · April 2026</t>
  </si>
  <si>
    <t>RISK REGISTER</t>
  </si>
  <si>
    <t>Risk Factor</t>
  </si>
  <si>
    <t>Severity (1-10)</t>
  </si>
  <si>
    <t>Likelihood (1-10)</t>
  </si>
  <si>
    <t>Mitigation &amp; Context</t>
  </si>
  <si>
    <t xml:space="preserve">  US-China Tariffs (145% on Chinese imports)</t>
  </si>
  <si>
    <t>~90% of iPhones assembled in China. ~$3.3B tariff cost absorbed in FY2025. India ramp to 25% of US-bound production by FY2027. Full pass-through would raise iPhone price ~$1,000+.</t>
  </si>
  <si>
    <t xml:space="preserve">  China Market Slowdown / Huawei Competition</t>
  </si>
  <si>
    <t>China is ~16% of revenue. FY2025 China revenue -4%. Huawei Mate series gaining share. Q1 FY2026 showed 38% China surge but sustainability uncertain.</t>
  </si>
  <si>
    <t xml:space="preserve">  AI Strategy Execution Risk</t>
  </si>
  <si>
    <t>Apple Intelligence launched FY2025 but Siri conversational AI (Gemini-powered) delayed to late 2026. Google, Microsoft, OpenAI perceived as ahead. AI is key to next iPhone upgrade supercycle.</t>
  </si>
  <si>
    <t xml:space="preserve">  App Store / DOJ Antitrust Lawsuit</t>
  </si>
  <si>
    <t>DOJ lawsuit heading to trial in 2027. EU DMA forcing App Store changes. China commission cut to 25%. Services margin could compress 100-150 bps in FY2026-27.</t>
  </si>
  <si>
    <t xml:space="preserve">  India Tariff Exposure (50% tariff threatened)</t>
  </si>
  <si>
    <t>Electronics currently exempt. India is key to supply chain diversification and a major growth market. Any tariff on India-assembled goods would significantly increase costs.</t>
  </si>
  <si>
    <t xml:space="preserve">  US Consumer Spending Slowdown</t>
  </si>
  <si>
    <t>Consumer confidence near recessionary levels. Premium devices ($1,200+) vulnerable to demand drops. iPhone 18 at $2,000+ foldable timing is risky. Historical resilience in Apple's installed base.</t>
  </si>
  <si>
    <t xml:space="preserve">  Regulatory Pressure — EU &amp; DMA</t>
  </si>
  <si>
    <t>EU Digital Markets Act mandates sideloading, third-party payments. Estimated EUR 1-3B annual Services impact. Apple challenging in courts but compliance costs rising.</t>
  </si>
  <si>
    <t xml:space="preserve">  India Market Growth Opportunity</t>
  </si>
  <si>
    <t>~1.4B consumers; smartphone penetration growing. Apple gained 6%+ market share. Manufacturing expansion creates local goodwill. Long-term transformational opportunity.</t>
  </si>
  <si>
    <t xml:space="preserve">  Services Ecosystem Lock-in (Moat)</t>
  </si>
  <si>
    <t>1B+ paid subscriptions. $109B Services revenue in FY2025, ~72% gross margin. App Store, iCloud, Apple TV+, Pay create switching costs. CFO guiding +13% in FY2026.</t>
  </si>
  <si>
    <t xml:space="preserve">  Apple Silicon Competitive Advantage</t>
  </si>
  <si>
    <t>M5 chip delivers industry-leading performance per watt. Vertical integration from chip to OS. Competitors unable to match efficiency. Drives Mac and iPad premium positioning.</t>
  </si>
  <si>
    <t xml:space="preserve">  AI-Driven Upgrade Supercycle</t>
  </si>
  <si>
    <t>Once full Apple Intelligence/Siri AI rolls out (2026-27), could drive largest upgrade cycle since Face ID. 37% global upgrade intent (highest ever per Morgan Stanley March 2026 survey).</t>
  </si>
  <si>
    <t>LEGEND</t>
  </si>
  <si>
    <t xml:space="preserve">  High Risk (Score 7-10)</t>
  </si>
  <si>
    <t xml:space="preserve">  Medium Risk (Score 4-6)</t>
  </si>
  <si>
    <t xml:space="preserve">  Opportunity / Low Risk (Score 1-3)</t>
  </si>
  <si>
    <t>APPLE INC. — ANALYST CONSENSUS &amp; VALUATION METRICS</t>
  </si>
  <si>
    <t>Data as of April 2026  ·  Sources: Morgan Stanley, BofA, Barclays, Wedbush, Rosenblatt</t>
  </si>
  <si>
    <t>WALL STREET PRICE TARGETS</t>
  </si>
  <si>
    <t>Analyst / Firm</t>
  </si>
  <si>
    <t>Rating</t>
  </si>
  <si>
    <t>Price Target</t>
  </si>
  <si>
    <t>12M Upside</t>
  </si>
  <si>
    <t>Key Thesis</t>
  </si>
  <si>
    <t xml:space="preserve">  Wedbush (Dan Ives)</t>
  </si>
  <si>
    <t>Outperform</t>
  </si>
  <si>
    <t>Strong Buy — Apple Intelligence supercycle, Services growth, China recovery.</t>
  </si>
  <si>
    <t xml:space="preserve">  BofA (Wamsi Mohan)</t>
  </si>
  <si>
    <t>Buy</t>
  </si>
  <si>
    <t>Q1 FY2026 beat; tariff risk manageable; India ramp positive.</t>
  </si>
  <si>
    <t xml:space="preserve">  Morgan Stanley (Erik Woodring)</t>
  </si>
  <si>
    <t>Overweight</t>
  </si>
  <si>
    <t>Highest upgrade intent in survey history; FY2026 China momentum.</t>
  </si>
  <si>
    <t xml:space="preserve">  Goldman Sachs</t>
  </si>
  <si>
    <t>Services mix shift to higher-margin revenue; EPS compounding.</t>
  </si>
  <si>
    <t xml:space="preserve">  JPMorgan</t>
  </si>
  <si>
    <t>Buyback program, Services growth, AI optionality not priced in.</t>
  </si>
  <si>
    <t xml:space="preserve">  Consensus Mean (24 analysts)</t>
  </si>
  <si>
    <t>Blended average of all tracked analyst 12-month price targets.</t>
  </si>
  <si>
    <t xml:space="preserve">  Rosenblatt (B. Crockett)</t>
  </si>
  <si>
    <t>Neutral</t>
  </si>
  <si>
    <t>AI delays and China headwinds cap near-term upside.</t>
  </si>
  <si>
    <t xml:space="preserve">  Barclays</t>
  </si>
  <si>
    <t>Underweight</t>
  </si>
  <si>
    <t>Tariff exposure underestimated; China structural decline.</t>
  </si>
  <si>
    <t xml:space="preserve">  Current Market Price (AAPL)</t>
  </si>
  <si>
    <t>—</t>
  </si>
  <si>
    <t>As of ~April 15, 2026.</t>
  </si>
  <si>
    <t>VALUATION MULTIPLES</t>
  </si>
  <si>
    <t>Metric</t>
  </si>
  <si>
    <t>Current</t>
  </si>
  <si>
    <t>5Y Average</t>
  </si>
  <si>
    <t>Peer Median</t>
  </si>
  <si>
    <t xml:space="preserve">  Price / Earnings (P/E)</t>
  </si>
  <si>
    <t>29.0x</t>
  </si>
  <si>
    <t>24.4x</t>
  </si>
  <si>
    <t>28.5x</t>
  </si>
  <si>
    <t>22.1x</t>
  </si>
  <si>
    <t xml:space="preserve">  EV / EBITDA</t>
  </si>
  <si>
    <t>22.5x</t>
  </si>
  <si>
    <t>19.8x</t>
  </si>
  <si>
    <t>21.0x</t>
  </si>
  <si>
    <t>17.2x</t>
  </si>
  <si>
    <t xml:space="preserve">  Price / Sales</t>
  </si>
  <si>
    <t>7.4x</t>
  </si>
  <si>
    <t>6.8x</t>
  </si>
  <si>
    <t>7.0x</t>
  </si>
  <si>
    <t>5.1x</t>
  </si>
  <si>
    <t xml:space="preserve">  Price / Free Cash Flow</t>
  </si>
  <si>
    <t>26.0x</t>
  </si>
  <si>
    <t>22.0x</t>
  </si>
  <si>
    <t>24.5x</t>
  </si>
  <si>
    <t>20.3x</t>
  </si>
  <si>
    <t xml:space="preserve">  PEG Ratio</t>
  </si>
  <si>
    <t>2.1x</t>
  </si>
  <si>
    <t>1.9x</t>
  </si>
  <si>
    <t>2.0x</t>
  </si>
  <si>
    <t>1.6x</t>
  </si>
  <si>
    <t xml:space="preserve">  Dividend Yield</t>
  </si>
  <si>
    <t>0.47%</t>
  </si>
  <si>
    <t>0.48%</t>
  </si>
  <si>
    <t>0.42%</t>
  </si>
  <si>
    <t>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</si>
</sst>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quot;($&quot;#,##0\);\-"/>
    <numFmt numFmtId="165" formatCode="0.0%;\(0.0%\);\-"/>
    <numFmt numFmtId="166" formatCode="\$#,##0.00;&quot;($&quot;#,##0.00\);\-"/>
    <numFmt numFmtId="167" formatCode="#,##0;\(#,##0\);\-"/>
    <numFmt numFmtId="168" formatCode="0.0%"/>
    <numFmt numFmtId="169" formatCode="0.000\x"/>
    <numFmt numFmtId="170" formatCode="\$#,##0.00"/>
  </numFmts>
  <fonts count="45" x14ac:knownFonts="1">
    <font>
      <sz val="11"/>
      <color theme="1"/>
      <name val="Calibri"/>
      <family val="2"/>
      <charset val="1"/>
    </font>
    <font>
      <b/>
      <sz val="28"/>
      <color rgb="FFFFFFFF"/>
      <name val="Arial"/>
      <family val="2"/>
    </font>
    <font>
      <sz val="14"/>
      <color rgb="FFAAAAAA"/>
      <name val="Arial"/>
      <family val="2"/>
    </font>
    <font>
      <sz val="11"/>
      <color rgb="FF888888"/>
      <name val="Arial"/>
      <family val="2"/>
    </font>
    <font>
      <sz val="10"/>
      <color rgb="FFAAAAAA"/>
      <name val="Arial"/>
      <family val="2"/>
    </font>
    <font>
      <b/>
      <sz val="8"/>
      <color rgb="FF555555"/>
      <name val="Arial"/>
      <family val="2"/>
    </font>
    <font>
      <b/>
      <sz val="20"/>
      <color rgb="FF003366"/>
      <name val="Arial"/>
      <family val="2"/>
    </font>
    <font>
      <sz val="9"/>
      <color rgb="FF1D9E75"/>
      <name val="Arial"/>
      <family val="2"/>
    </font>
    <font>
      <b/>
      <sz val="11"/>
      <color rgb="FFFFFFFF"/>
      <name val="Arial"/>
      <family val="2"/>
    </font>
    <font>
      <b/>
      <sz val="10"/>
      <color rgb="FF003366"/>
      <name val="Arial"/>
      <family val="2"/>
    </font>
    <font>
      <sz val="9"/>
      <color rgb="FF555555"/>
      <name val="Arial"/>
      <family val="2"/>
    </font>
    <font>
      <sz val="8"/>
      <color rgb="FF888888"/>
      <name val="Arial"/>
      <family val="2"/>
    </font>
    <font>
      <b/>
      <sz val="13"/>
      <color rgb="FFFFFFFF"/>
      <name val="Arial"/>
      <family val="2"/>
    </font>
    <font>
      <sz val="9"/>
      <color rgb="FFAAAAAA"/>
      <name val="Arial"/>
      <family val="2"/>
    </font>
    <font>
      <b/>
      <sz val="10"/>
      <color rgb="FFFFFFFF"/>
      <name val="Arial"/>
      <family val="2"/>
    </font>
    <font>
      <b/>
      <sz val="10"/>
      <color rgb="FFFFF3CD"/>
      <name val="Arial"/>
      <family val="2"/>
    </font>
    <font>
      <b/>
      <sz val="9"/>
      <color rgb="FF003366"/>
      <name val="Arial"/>
      <family val="2"/>
    </font>
    <font>
      <sz val="9.5"/>
      <color rgb="FF000000"/>
      <name val="Arial"/>
      <family val="2"/>
    </font>
    <font>
      <sz val="9.5"/>
      <color rgb="FF0000FF"/>
      <name val="Arial"/>
      <family val="2"/>
    </font>
    <font>
      <b/>
      <sz val="9.5"/>
      <color rgb="FF000000"/>
      <name val="Arial"/>
      <family val="2"/>
    </font>
    <font>
      <sz val="9.5"/>
      <name val="Arial"/>
      <family val="2"/>
    </font>
    <font>
      <b/>
      <sz val="9.5"/>
      <name val="Arial"/>
      <family val="2"/>
    </font>
    <font>
      <b/>
      <sz val="10"/>
      <color rgb="FFD6E4F7"/>
      <name val="Arial"/>
      <family val="2"/>
    </font>
    <font>
      <b/>
      <sz val="10"/>
      <color rgb="FFE1F5EE"/>
      <name val="Arial"/>
      <family val="2"/>
    </font>
    <font>
      <b/>
      <sz val="10"/>
      <color rgb="FFFAECE7"/>
      <name val="Arial"/>
      <family val="2"/>
    </font>
    <font>
      <b/>
      <sz val="9"/>
      <color rgb="FFD6E4F7"/>
      <name val="Arial"/>
      <family val="2"/>
    </font>
    <font>
      <b/>
      <sz val="9"/>
      <color rgb="FFE1F5EE"/>
      <name val="Arial"/>
      <family val="2"/>
    </font>
    <font>
      <b/>
      <sz val="9"/>
      <color rgb="FFFAECE7"/>
      <name val="Arial"/>
      <family val="2"/>
    </font>
    <font>
      <sz val="9"/>
      <color rgb="FF333333"/>
      <name val="Arial"/>
      <family val="2"/>
    </font>
    <font>
      <b/>
      <sz val="9.5"/>
      <color rgb="FF003366"/>
      <name val="Arial"/>
      <family val="2"/>
    </font>
    <font>
      <b/>
      <sz val="9.5"/>
      <color rgb="FF1D9E75"/>
      <name val="Arial"/>
      <family val="2"/>
    </font>
    <font>
      <b/>
      <sz val="9.5"/>
      <color rgb="FFFFFFFF"/>
      <name val="Arial"/>
      <family val="2"/>
    </font>
    <font>
      <b/>
      <sz val="9.5"/>
      <color rgb="FFD85A30"/>
      <name val="Arial"/>
      <family val="2"/>
    </font>
    <font>
      <b/>
      <sz val="14"/>
      <color rgb="FFD85A30"/>
      <name val="Arial"/>
      <family val="2"/>
    </font>
    <font>
      <b/>
      <sz val="9.5"/>
      <color rgb="FF664400"/>
      <name val="Arial"/>
      <family val="2"/>
    </font>
    <font>
      <b/>
      <sz val="14"/>
      <color rgb="FFBA7517"/>
      <name val="Arial"/>
      <family val="2"/>
    </font>
    <font>
      <b/>
      <sz val="14"/>
      <color rgb="FF1D9E75"/>
      <name val="Arial"/>
      <family val="2"/>
    </font>
    <font>
      <b/>
      <sz val="9"/>
      <color rgb="FFFFFFFF"/>
      <name val="Arial"/>
      <family val="2"/>
    </font>
    <font>
      <sz val="9"/>
      <color rgb="FFD85A30"/>
      <name val="Arial"/>
      <family val="2"/>
    </font>
    <font>
      <sz val="9"/>
      <color rgb="FFBA7517"/>
      <name val="Arial"/>
      <family val="2"/>
    </font>
    <font>
      <sz val="11"/>
      <color rgb="FF000000"/>
      <name val="Arial"/>
      <family val="2"/>
    </font>
    <font>
      <sz val="9.5"/>
      <color rgb="FF1D9E75"/>
      <name val="Arial"/>
      <family val="2"/>
    </font>
    <font>
      <b/>
      <sz val="11"/>
      <color rgb="FF003366"/>
      <name val="Arial"/>
      <family val="2"/>
    </font>
    <font>
      <b/>
      <sz val="9.5"/>
      <color rgb="FF888780"/>
      <name val="Arial"/>
      <family val="2"/>
    </font>
    <font>
      <sz val="9.5"/>
      <color rgb="FF555555"/>
      <name val="Arial"/>
      <family val="2"/>
    </font>
  </fonts>
  <fills count="14">
    <fill>
      <patternFill patternType="none"/>
    </fill>
    <fill>
      <patternFill patternType="gray125"/>
    </fill>
    <fill>
      <patternFill patternType="solid">
        <fgColor rgb="FF1D1D1F"/>
        <bgColor rgb="FF333333"/>
      </patternFill>
    </fill>
    <fill>
      <patternFill patternType="solid">
        <fgColor rgb="FF0071E3"/>
        <bgColor rgb="FF3366FF"/>
      </patternFill>
    </fill>
    <fill>
      <patternFill patternType="solid">
        <fgColor rgb="FFE8EEF6"/>
        <bgColor rgb="FFF2F2F2"/>
      </patternFill>
    </fill>
    <fill>
      <patternFill patternType="solid">
        <fgColor rgb="FF003366"/>
        <bgColor rgb="FF333333"/>
      </patternFill>
    </fill>
    <fill>
      <patternFill patternType="solid">
        <fgColor rgb="FFF5F8FC"/>
        <bgColor rgb="FFF2F2F2"/>
      </patternFill>
    </fill>
    <fill>
      <patternFill patternType="solid">
        <fgColor rgb="FFFFFFFF"/>
        <bgColor rgb="FFFFFFF0"/>
      </patternFill>
    </fill>
    <fill>
      <patternFill patternType="solid">
        <fgColor rgb="FFFFFFF0"/>
        <bgColor rgb="FFFFFFFF"/>
      </patternFill>
    </fill>
    <fill>
      <patternFill patternType="solid">
        <fgColor rgb="FFFFF3CD"/>
        <bgColor rgb="FFFAECE7"/>
      </patternFill>
    </fill>
    <fill>
      <patternFill patternType="solid">
        <fgColor rgb="FFD6E4F7"/>
        <bgColor rgb="FFE8EEF6"/>
      </patternFill>
    </fill>
    <fill>
      <patternFill patternType="solid">
        <fgColor rgb="FFE1F5EE"/>
        <bgColor rgb="FFE8EEF6"/>
      </patternFill>
    </fill>
    <fill>
      <patternFill patternType="solid">
        <fgColor rgb="FFFAECE7"/>
        <bgColor rgb="FFF2F2F2"/>
      </patternFill>
    </fill>
    <fill>
      <patternFill patternType="solid">
        <fgColor rgb="FFF2F2F2"/>
        <bgColor rgb="FFF5F8FC"/>
      </patternFill>
    </fill>
  </fills>
  <borders count="3">
    <border>
      <left/>
      <right/>
      <top/>
      <bottom/>
      <diagonal/>
    </border>
    <border>
      <left/>
      <right/>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4">
    <xf numFmtId="0" fontId="0" fillId="0" borderId="0" xfId="0"/>
    <xf numFmtId="0" fontId="24" fillId="5" borderId="0" xfId="0" applyFont="1" applyFill="1" applyAlignment="1">
      <alignment horizontal="center" vertical="center"/>
    </xf>
    <xf numFmtId="0" fontId="23" fillId="5" borderId="0" xfId="0" applyFont="1" applyFill="1" applyAlignment="1">
      <alignment horizontal="center" vertical="center"/>
    </xf>
    <xf numFmtId="0" fontId="22" fillId="5" borderId="0" xfId="0" applyFont="1" applyFill="1" applyAlignment="1">
      <alignment horizontal="center" vertical="center"/>
    </xf>
    <xf numFmtId="0" fontId="14" fillId="5" borderId="0" xfId="0" applyFont="1" applyFill="1" applyAlignment="1">
      <alignment horizontal="center" vertical="center"/>
    </xf>
    <xf numFmtId="0" fontId="13" fillId="2" borderId="0" xfId="0" applyFont="1" applyFill="1" applyAlignment="1">
      <alignment horizontal="left" vertical="center"/>
    </xf>
    <xf numFmtId="0" fontId="12" fillId="2" borderId="0" xfId="0" applyFont="1" applyFill="1" applyAlignment="1">
      <alignment horizontal="center" vertical="center"/>
    </xf>
    <xf numFmtId="0" fontId="11" fillId="7" borderId="0" xfId="0" applyFont="1" applyFill="1" applyAlignment="1">
      <alignment horizontal="left" vertical="center" wrapText="1"/>
    </xf>
    <xf numFmtId="0" fontId="10" fillId="7" borderId="1" xfId="0" applyFont="1" applyFill="1" applyBorder="1" applyAlignment="1">
      <alignment horizontal="left" vertical="center"/>
    </xf>
    <xf numFmtId="0" fontId="10" fillId="6" borderId="1" xfId="0" applyFont="1" applyFill="1" applyBorder="1" applyAlignment="1">
      <alignment horizontal="left" vertical="center"/>
    </xf>
    <xf numFmtId="0" fontId="8" fillId="5" borderId="0" xfId="0" applyFont="1" applyFill="1" applyAlignment="1">
      <alignment horizontal="center" vertical="center"/>
    </xf>
    <xf numFmtId="0" fontId="4" fillId="2" borderId="0" xfId="0" applyFont="1" applyFill="1" applyAlignment="1">
      <alignment horizontal="left" vertical="center"/>
    </xf>
    <xf numFmtId="0" fontId="3" fillId="2" borderId="0" xfId="0" applyFont="1" applyFill="1" applyAlignment="1">
      <alignment horizontal="left" vertical="center"/>
    </xf>
    <xf numFmtId="0" fontId="2" fillId="2" borderId="0" xfId="0" applyFont="1" applyFill="1" applyAlignment="1">
      <alignment horizontal="left" vertical="center"/>
    </xf>
    <xf numFmtId="0" fontId="1" fillId="2" borderId="0" xfId="0" applyFont="1" applyFill="1" applyAlignment="1">
      <alignment horizontal="left" vertical="center"/>
    </xf>
    <xf numFmtId="0" fontId="0" fillId="2" borderId="0" xfId="0" applyFill="1"/>
    <xf numFmtId="0" fontId="0" fillId="3" borderId="0" xfId="0" applyFill="1"/>
    <xf numFmtId="0" fontId="5" fillId="4" borderId="0" xfId="0" applyFont="1" applyFill="1" applyAlignment="1">
      <alignment horizontal="center" vertical="center"/>
    </xf>
    <xf numFmtId="0" fontId="6" fillId="4" borderId="0" xfId="0" applyFont="1" applyFill="1" applyAlignment="1">
      <alignment horizontal="center" vertical="center"/>
    </xf>
    <xf numFmtId="0" fontId="7" fillId="4" borderId="0" xfId="0" applyFont="1" applyFill="1" applyAlignment="1">
      <alignment horizontal="center" vertical="center"/>
    </xf>
    <xf numFmtId="0" fontId="9" fillId="6"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14" fillId="5" borderId="0" xfId="0" applyFont="1" applyFill="1" applyAlignment="1">
      <alignment horizontal="left" vertical="center" wrapText="1"/>
    </xf>
    <xf numFmtId="0" fontId="14" fillId="5" borderId="2"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0" fillId="4" borderId="0" xfId="0" applyFill="1"/>
    <xf numFmtId="0" fontId="16" fillId="4" borderId="0" xfId="0" applyFont="1" applyFill="1" applyAlignment="1">
      <alignment horizontal="left" vertical="center" wrapText="1"/>
    </xf>
    <xf numFmtId="0" fontId="17" fillId="7" borderId="1" xfId="0" applyFont="1" applyFill="1" applyBorder="1" applyAlignment="1">
      <alignment horizontal="left" vertical="center" wrapText="1"/>
    </xf>
    <xf numFmtId="164" fontId="18" fillId="7" borderId="1" xfId="0" applyNumberFormat="1" applyFont="1" applyFill="1" applyBorder="1" applyAlignment="1">
      <alignment horizontal="right" vertical="center"/>
    </xf>
    <xf numFmtId="164" fontId="17" fillId="8" borderId="1" xfId="0" applyNumberFormat="1" applyFont="1" applyFill="1" applyBorder="1" applyAlignment="1">
      <alignment horizontal="right" vertical="center"/>
    </xf>
    <xf numFmtId="0" fontId="17" fillId="6" borderId="1" xfId="0" applyFont="1" applyFill="1" applyBorder="1" applyAlignment="1">
      <alignment horizontal="left" vertical="center" wrapText="1"/>
    </xf>
    <xf numFmtId="164" fontId="18" fillId="6" borderId="1" xfId="0" applyNumberFormat="1" applyFont="1" applyFill="1" applyBorder="1" applyAlignment="1">
      <alignment horizontal="right" vertical="center"/>
    </xf>
    <xf numFmtId="164" fontId="17" fillId="9" borderId="1" xfId="0" applyNumberFormat="1" applyFont="1" applyFill="1" applyBorder="1" applyAlignment="1">
      <alignment horizontal="right" vertical="center"/>
    </xf>
    <xf numFmtId="0" fontId="19" fillId="10" borderId="1" xfId="0" applyFont="1" applyFill="1" applyBorder="1" applyAlignment="1">
      <alignment horizontal="left" vertical="center" wrapText="1"/>
    </xf>
    <xf numFmtId="164" fontId="19" fillId="10" borderId="1" xfId="0" applyNumberFormat="1" applyFont="1" applyFill="1" applyBorder="1" applyAlignment="1">
      <alignment horizontal="right" vertical="center"/>
    </xf>
    <xf numFmtId="165" fontId="20" fillId="7" borderId="1" xfId="0" applyNumberFormat="1" applyFont="1" applyFill="1" applyBorder="1" applyAlignment="1">
      <alignment horizontal="right" vertical="center"/>
    </xf>
    <xf numFmtId="165" fontId="17" fillId="7" borderId="1" xfId="0" applyNumberFormat="1" applyFont="1" applyFill="1" applyBorder="1" applyAlignment="1">
      <alignment horizontal="right" vertical="center"/>
    </xf>
    <xf numFmtId="165" fontId="17" fillId="8" borderId="1" xfId="0" applyNumberFormat="1" applyFont="1" applyFill="1" applyBorder="1" applyAlignment="1">
      <alignment horizontal="right" vertical="center"/>
    </xf>
    <xf numFmtId="164" fontId="17" fillId="7" borderId="1" xfId="0" applyNumberFormat="1" applyFont="1" applyFill="1" applyBorder="1" applyAlignment="1">
      <alignment horizontal="right" vertical="center"/>
    </xf>
    <xf numFmtId="165" fontId="17" fillId="6" borderId="1" xfId="0" applyNumberFormat="1" applyFont="1" applyFill="1" applyBorder="1" applyAlignment="1">
      <alignment horizontal="right" vertical="center"/>
    </xf>
    <xf numFmtId="165" fontId="17" fillId="9" borderId="1" xfId="0" applyNumberFormat="1" applyFont="1" applyFill="1" applyBorder="1" applyAlignment="1">
      <alignment horizontal="right" vertical="center"/>
    </xf>
    <xf numFmtId="164" fontId="17" fillId="6" borderId="1" xfId="0" applyNumberFormat="1" applyFont="1" applyFill="1" applyBorder="1" applyAlignment="1">
      <alignment horizontal="right" vertical="center"/>
    </xf>
    <xf numFmtId="166" fontId="18" fillId="7" borderId="1" xfId="0" applyNumberFormat="1" applyFont="1" applyFill="1" applyBorder="1" applyAlignment="1">
      <alignment horizontal="right" vertical="center"/>
    </xf>
    <xf numFmtId="166" fontId="17" fillId="8" borderId="1" xfId="0" applyNumberFormat="1" applyFont="1" applyFill="1" applyBorder="1" applyAlignment="1">
      <alignment horizontal="right" vertical="center"/>
    </xf>
    <xf numFmtId="166" fontId="18" fillId="6" borderId="1" xfId="0" applyNumberFormat="1" applyFont="1" applyFill="1" applyBorder="1" applyAlignment="1">
      <alignment horizontal="right" vertical="center"/>
    </xf>
    <xf numFmtId="166" fontId="17" fillId="9" borderId="1" xfId="0" applyNumberFormat="1" applyFont="1" applyFill="1" applyBorder="1" applyAlignment="1">
      <alignment horizontal="right" vertical="center"/>
    </xf>
    <xf numFmtId="167" fontId="18" fillId="7" borderId="1" xfId="0" applyNumberFormat="1" applyFont="1" applyFill="1" applyBorder="1" applyAlignment="1">
      <alignment horizontal="right" vertical="center"/>
    </xf>
    <xf numFmtId="167" fontId="17" fillId="8" borderId="1" xfId="0" applyNumberFormat="1" applyFont="1" applyFill="1" applyBorder="1" applyAlignment="1">
      <alignment horizontal="right" vertical="center"/>
    </xf>
    <xf numFmtId="0" fontId="14" fillId="5" borderId="0" xfId="0" applyFont="1" applyFill="1" applyAlignment="1">
      <alignment horizontal="center" vertical="center" wrapText="1"/>
    </xf>
    <xf numFmtId="0" fontId="15" fillId="5" borderId="0" xfId="0" applyFont="1" applyFill="1" applyAlignment="1">
      <alignment horizontal="center" vertical="center" wrapText="1"/>
    </xf>
    <xf numFmtId="164" fontId="20" fillId="8" borderId="1" xfId="0" applyNumberFormat="1" applyFont="1" applyFill="1" applyBorder="1" applyAlignment="1">
      <alignment horizontal="right" vertical="center"/>
    </xf>
    <xf numFmtId="164" fontId="20" fillId="9" borderId="1" xfId="0" applyNumberFormat="1" applyFont="1" applyFill="1" applyBorder="1" applyAlignment="1">
      <alignment horizontal="right" vertical="center"/>
    </xf>
    <xf numFmtId="164" fontId="21" fillId="10" borderId="1" xfId="0" applyNumberFormat="1" applyFont="1" applyFill="1" applyBorder="1" applyAlignment="1">
      <alignment horizontal="right" vertical="center"/>
    </xf>
    <xf numFmtId="165" fontId="20" fillId="6" borderId="1" xfId="0" applyNumberFormat="1" applyFont="1" applyFill="1" applyBorder="1" applyAlignment="1">
      <alignment horizontal="right" vertical="center"/>
    </xf>
    <xf numFmtId="165" fontId="20" fillId="9" borderId="1" xfId="0" applyNumberFormat="1" applyFont="1" applyFill="1" applyBorder="1" applyAlignment="1">
      <alignment horizontal="right" vertical="center"/>
    </xf>
    <xf numFmtId="164" fontId="20" fillId="6" borderId="1" xfId="0" applyNumberFormat="1" applyFont="1" applyFill="1" applyBorder="1" applyAlignment="1">
      <alignment horizontal="right" vertical="center"/>
    </xf>
    <xf numFmtId="164" fontId="20" fillId="7" borderId="1" xfId="0" applyNumberFormat="1" applyFont="1" applyFill="1" applyBorder="1" applyAlignment="1">
      <alignment horizontal="right" vertical="center"/>
    </xf>
    <xf numFmtId="165" fontId="20" fillId="8" borderId="1" xfId="0" applyNumberFormat="1" applyFont="1" applyFill="1" applyBorder="1" applyAlignment="1">
      <alignment horizontal="right" vertical="center"/>
    </xf>
    <xf numFmtId="0" fontId="0" fillId="5" borderId="0" xfId="0" applyFill="1"/>
    <xf numFmtId="0" fontId="25" fillId="5" borderId="0" xfId="0" applyFont="1" applyFill="1" applyAlignment="1">
      <alignment horizontal="center" vertical="center" wrapText="1"/>
    </xf>
    <xf numFmtId="0" fontId="26" fillId="5" borderId="0" xfId="0" applyFont="1" applyFill="1" applyAlignment="1">
      <alignment horizontal="center" vertical="center" wrapText="1"/>
    </xf>
    <xf numFmtId="0" fontId="27" fillId="5" borderId="0" xfId="0" applyFont="1" applyFill="1" applyAlignment="1">
      <alignment horizontal="center" vertical="center" wrapText="1"/>
    </xf>
    <xf numFmtId="165" fontId="17" fillId="10" borderId="1" xfId="0" applyNumberFormat="1" applyFont="1" applyFill="1" applyBorder="1" applyAlignment="1">
      <alignment horizontal="right" vertical="center"/>
    </xf>
    <xf numFmtId="165" fontId="17" fillId="11" borderId="1" xfId="0" applyNumberFormat="1" applyFont="1" applyFill="1" applyBorder="1" applyAlignment="1">
      <alignment horizontal="right" vertical="center"/>
    </xf>
    <xf numFmtId="165" fontId="17" fillId="12" borderId="1" xfId="0" applyNumberFormat="1" applyFont="1" applyFill="1" applyBorder="1" applyAlignment="1">
      <alignment horizontal="right" vertical="center"/>
    </xf>
    <xf numFmtId="166" fontId="19" fillId="10" borderId="1" xfId="0" applyNumberFormat="1" applyFont="1" applyFill="1" applyBorder="1" applyAlignment="1">
      <alignment horizontal="right" vertical="center"/>
    </xf>
    <xf numFmtId="164" fontId="17" fillId="10" borderId="1" xfId="0" applyNumberFormat="1" applyFont="1" applyFill="1" applyBorder="1" applyAlignment="1">
      <alignment horizontal="right" vertical="center"/>
    </xf>
    <xf numFmtId="164" fontId="17" fillId="11" borderId="1" xfId="0" applyNumberFormat="1" applyFont="1" applyFill="1" applyBorder="1" applyAlignment="1">
      <alignment horizontal="right" vertical="center"/>
    </xf>
    <xf numFmtId="164" fontId="17" fillId="12" borderId="1" xfId="0" applyNumberFormat="1" applyFont="1" applyFill="1" applyBorder="1" applyAlignment="1">
      <alignment horizontal="right" vertical="center"/>
    </xf>
    <xf numFmtId="0" fontId="16" fillId="13" borderId="1" xfId="0" applyFont="1" applyFill="1" applyBorder="1" applyAlignment="1">
      <alignment horizontal="left" vertical="center" wrapText="1"/>
    </xf>
    <xf numFmtId="0" fontId="28" fillId="6" borderId="1" xfId="0" applyFont="1" applyFill="1" applyBorder="1" applyAlignment="1">
      <alignment horizontal="left" vertical="center" wrapText="1"/>
    </xf>
    <xf numFmtId="0" fontId="28" fillId="7" borderId="1" xfId="0" applyFont="1" applyFill="1" applyBorder="1" applyAlignment="1">
      <alignment horizontal="left" vertical="center" wrapText="1"/>
    </xf>
    <xf numFmtId="168" fontId="18" fillId="6" borderId="1" xfId="0" applyNumberFormat="1" applyFont="1" applyFill="1" applyBorder="1" applyAlignment="1">
      <alignment horizontal="right" vertical="center"/>
    </xf>
    <xf numFmtId="168" fontId="18" fillId="7" borderId="1" xfId="0" applyNumberFormat="1" applyFont="1" applyFill="1" applyBorder="1" applyAlignment="1">
      <alignment horizontal="right" vertical="center"/>
    </xf>
    <xf numFmtId="2" fontId="18" fillId="6" borderId="1" xfId="0" applyNumberFormat="1" applyFont="1" applyFill="1" applyBorder="1" applyAlignment="1">
      <alignment horizontal="right" vertical="center"/>
    </xf>
    <xf numFmtId="10" fontId="17" fillId="7" borderId="1" xfId="0" applyNumberFormat="1" applyFont="1" applyFill="1" applyBorder="1" applyAlignment="1">
      <alignment horizontal="right" vertical="center"/>
    </xf>
    <xf numFmtId="0" fontId="17" fillId="6" borderId="1" xfId="0" applyFont="1" applyFill="1" applyBorder="1" applyAlignment="1">
      <alignment horizontal="right" vertical="center"/>
    </xf>
    <xf numFmtId="0" fontId="17" fillId="7" borderId="1" xfId="0" applyFont="1" applyFill="1" applyBorder="1" applyAlignment="1">
      <alignment horizontal="right" vertical="center"/>
    </xf>
    <xf numFmtId="0" fontId="18" fillId="7" borderId="1" xfId="0" applyFont="1" applyFill="1" applyBorder="1" applyAlignment="1">
      <alignment horizontal="right" vertical="center"/>
    </xf>
    <xf numFmtId="0" fontId="20" fillId="7" borderId="1" xfId="0" applyFont="1" applyFill="1" applyBorder="1" applyAlignment="1">
      <alignment horizontal="left" vertical="center" wrapText="1"/>
    </xf>
    <xf numFmtId="164" fontId="18" fillId="8" borderId="1" xfId="0" applyNumberFormat="1" applyFont="1" applyFill="1" applyBorder="1" applyAlignment="1">
      <alignment horizontal="right" vertical="center"/>
    </xf>
    <xf numFmtId="0" fontId="20" fillId="6" borderId="1" xfId="0" applyFont="1" applyFill="1" applyBorder="1" applyAlignment="1">
      <alignment horizontal="left" vertical="center" wrapText="1"/>
    </xf>
    <xf numFmtId="164" fontId="18" fillId="9" borderId="1" xfId="0" applyNumberFormat="1" applyFont="1" applyFill="1" applyBorder="1" applyAlignment="1">
      <alignment horizontal="right" vertical="center"/>
    </xf>
    <xf numFmtId="0" fontId="21" fillId="10" borderId="1" xfId="0" applyFont="1" applyFill="1" applyBorder="1" applyAlignment="1">
      <alignment horizontal="left" vertical="center" wrapText="1"/>
    </xf>
    <xf numFmtId="169" fontId="17" fillId="9" borderId="1" xfId="0" applyNumberFormat="1" applyFont="1" applyFill="1" applyBorder="1" applyAlignment="1">
      <alignment horizontal="right" vertical="center"/>
    </xf>
    <xf numFmtId="0" fontId="29" fillId="10" borderId="1" xfId="0" applyFont="1" applyFill="1" applyBorder="1" applyAlignment="1">
      <alignment horizontal="left" vertical="center" wrapText="1"/>
    </xf>
    <xf numFmtId="165" fontId="30" fillId="10" borderId="1" xfId="0" applyNumberFormat="1" applyFont="1" applyFill="1" applyBorder="1" applyAlignment="1">
      <alignment horizontal="right" vertical="center"/>
    </xf>
    <xf numFmtId="0" fontId="31" fillId="5" borderId="1" xfId="0" applyFont="1" applyFill="1" applyBorder="1" applyAlignment="1">
      <alignment horizontal="left" vertical="center" wrapText="1"/>
    </xf>
    <xf numFmtId="0" fontId="32" fillId="12" borderId="1" xfId="0" applyFont="1" applyFill="1" applyBorder="1" applyAlignment="1">
      <alignment horizontal="left" vertical="center" wrapText="1"/>
    </xf>
    <xf numFmtId="0" fontId="33" fillId="12" borderId="1" xfId="0" applyFont="1" applyFill="1" applyBorder="1" applyAlignment="1">
      <alignment horizontal="center" vertical="center" wrapText="1"/>
    </xf>
    <xf numFmtId="0" fontId="34" fillId="9" borderId="1" xfId="0" applyFont="1" applyFill="1" applyBorder="1" applyAlignment="1">
      <alignment horizontal="left" vertical="center" wrapText="1"/>
    </xf>
    <xf numFmtId="0" fontId="35" fillId="9" borderId="1" xfId="0" applyFont="1" applyFill="1" applyBorder="1" applyAlignment="1">
      <alignment horizontal="center" vertical="center" wrapText="1"/>
    </xf>
    <xf numFmtId="0" fontId="29" fillId="11" borderId="1" xfId="0" applyFont="1" applyFill="1" applyBorder="1" applyAlignment="1">
      <alignment horizontal="left" vertical="center" wrapText="1"/>
    </xf>
    <xf numFmtId="0" fontId="36" fillId="11" borderId="1" xfId="0" applyFont="1" applyFill="1" applyBorder="1" applyAlignment="1">
      <alignment horizontal="center" vertical="center" wrapText="1"/>
    </xf>
    <xf numFmtId="0" fontId="17" fillId="11" borderId="1" xfId="0" applyFont="1" applyFill="1" applyBorder="1" applyAlignment="1">
      <alignment horizontal="left" vertical="center" wrapText="1"/>
    </xf>
    <xf numFmtId="0" fontId="30" fillId="11" borderId="1" xfId="0" applyFont="1" applyFill="1" applyBorder="1" applyAlignment="1">
      <alignment horizontal="center" vertical="center" wrapText="1"/>
    </xf>
    <xf numFmtId="170" fontId="40" fillId="11" borderId="1" xfId="0" applyNumberFormat="1" applyFont="1" applyFill="1" applyBorder="1" applyAlignment="1">
      <alignment horizontal="center" vertical="center" wrapText="1"/>
    </xf>
    <xf numFmtId="165" fontId="41" fillId="11" borderId="1" xfId="0" applyNumberFormat="1" applyFont="1" applyFill="1" applyBorder="1" applyAlignment="1">
      <alignment horizontal="center" vertical="center" wrapText="1"/>
    </xf>
    <xf numFmtId="0" fontId="30" fillId="10" borderId="1" xfId="0" applyFont="1" applyFill="1" applyBorder="1" applyAlignment="1">
      <alignment horizontal="center" vertical="center" wrapText="1"/>
    </xf>
    <xf numFmtId="170" fontId="42" fillId="10" borderId="1" xfId="0" applyNumberFormat="1" applyFont="1" applyFill="1" applyBorder="1" applyAlignment="1">
      <alignment horizontal="center" vertical="center" wrapText="1"/>
    </xf>
    <xf numFmtId="165" fontId="30" fillId="10" borderId="1" xfId="0" applyNumberFormat="1" applyFont="1" applyFill="1" applyBorder="1" applyAlignment="1">
      <alignment horizontal="center" vertical="center" wrapText="1"/>
    </xf>
    <xf numFmtId="0" fontId="17" fillId="9" borderId="1" xfId="0" applyFont="1" applyFill="1" applyBorder="1" applyAlignment="1">
      <alignment horizontal="left" vertical="center" wrapText="1"/>
    </xf>
    <xf numFmtId="0" fontId="43" fillId="9" borderId="1" xfId="0" applyFont="1" applyFill="1" applyBorder="1" applyAlignment="1">
      <alignment horizontal="center" vertical="center" wrapText="1"/>
    </xf>
    <xf numFmtId="170" fontId="40" fillId="9" borderId="1" xfId="0" applyNumberFormat="1" applyFont="1" applyFill="1" applyBorder="1" applyAlignment="1">
      <alignment horizontal="center" vertical="center" wrapText="1"/>
    </xf>
    <xf numFmtId="165" fontId="41" fillId="9" borderId="1" xfId="0" applyNumberFormat="1" applyFont="1" applyFill="1" applyBorder="1" applyAlignment="1">
      <alignment horizontal="center" vertical="center" wrapText="1"/>
    </xf>
    <xf numFmtId="0" fontId="17" fillId="12" borderId="1" xfId="0" applyFont="1" applyFill="1" applyBorder="1" applyAlignment="1">
      <alignment horizontal="left" vertical="center" wrapText="1"/>
    </xf>
    <xf numFmtId="0" fontId="32" fillId="12" borderId="1" xfId="0" applyFont="1" applyFill="1" applyBorder="1" applyAlignment="1">
      <alignment horizontal="center" vertical="center" wrapText="1"/>
    </xf>
    <xf numFmtId="170" fontId="40" fillId="12" borderId="1" xfId="0" applyNumberFormat="1" applyFont="1" applyFill="1" applyBorder="1" applyAlignment="1">
      <alignment horizontal="center" vertical="center" wrapText="1"/>
    </xf>
    <xf numFmtId="165" fontId="41" fillId="12" borderId="1" xfId="0" applyNumberFormat="1" applyFont="1" applyFill="1" applyBorder="1" applyAlignment="1">
      <alignment horizontal="center" vertical="center" wrapText="1"/>
    </xf>
    <xf numFmtId="0" fontId="19" fillId="13" borderId="1" xfId="0" applyFont="1" applyFill="1" applyBorder="1" applyAlignment="1">
      <alignment horizontal="left" vertical="center" wrapText="1"/>
    </xf>
    <xf numFmtId="0" fontId="19" fillId="13" borderId="1" xfId="0" applyFont="1" applyFill="1" applyBorder="1" applyAlignment="1">
      <alignment horizontal="center" vertical="center" wrapText="1"/>
    </xf>
    <xf numFmtId="170" fontId="40" fillId="13" borderId="1" xfId="0" applyNumberFormat="1" applyFont="1" applyFill="1" applyBorder="1" applyAlignment="1">
      <alignment horizontal="center" vertical="center" wrapText="1"/>
    </xf>
    <xf numFmtId="165" fontId="44" fillId="13" borderId="1" xfId="0" applyNumberFormat="1" applyFont="1" applyFill="1" applyBorder="1" applyAlignment="1">
      <alignment horizontal="center" vertical="center" wrapText="1"/>
    </xf>
    <xf numFmtId="0" fontId="31" fillId="5" borderId="1" xfId="0" applyFont="1" applyFill="1" applyBorder="1" applyAlignment="1">
      <alignment horizontal="center" vertical="center" wrapText="1"/>
    </xf>
    <xf numFmtId="0" fontId="29" fillId="7" borderId="1" xfId="0" applyFont="1" applyFill="1" applyBorder="1" applyAlignment="1">
      <alignment horizontal="left" vertical="center" wrapText="1"/>
    </xf>
    <xf numFmtId="0" fontId="17" fillId="7" borderId="1" xfId="0" applyFont="1" applyFill="1" applyBorder="1" applyAlignment="1">
      <alignment horizontal="center" vertical="center" wrapText="1"/>
    </xf>
    <xf numFmtId="0" fontId="29" fillId="6" borderId="1" xfId="0" applyFont="1" applyFill="1" applyBorder="1" applyAlignment="1">
      <alignment horizontal="left" vertical="center" wrapText="1"/>
    </xf>
    <xf numFmtId="0" fontId="17" fillId="6" borderId="1" xfId="0" applyFont="1" applyFill="1" applyBorder="1" applyAlignment="1">
      <alignment horizontal="center" vertical="center" wrapText="1"/>
    </xf>
    <xf numFmtId="0" fontId="28" fillId="6" borderId="1" xfId="0" applyFont="1" applyFill="1" applyBorder="1" applyAlignment="1">
      <alignment horizontal="left" vertical="center" wrapText="1"/>
    </xf>
    <xf numFmtId="0" fontId="28" fillId="7" borderId="1" xfId="0" applyFont="1" applyFill="1" applyBorder="1" applyAlignment="1">
      <alignment horizontal="left" vertical="center" wrapText="1"/>
    </xf>
    <xf numFmtId="0" fontId="37" fillId="5" borderId="0" xfId="0" applyFont="1" applyFill="1" applyAlignment="1">
      <alignment horizontal="center" vertical="center"/>
    </xf>
    <xf numFmtId="0" fontId="38" fillId="12" borderId="0" xfId="0" applyFont="1" applyFill="1" applyAlignment="1">
      <alignment horizontal="left" vertical="center"/>
    </xf>
    <xf numFmtId="0" fontId="39" fillId="9" borderId="0" xfId="0" applyFont="1" applyFill="1" applyAlignment="1">
      <alignment horizontal="left" vertical="center"/>
    </xf>
    <xf numFmtId="0" fontId="7" fillId="11"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A7517"/>
      <rgbColor rgb="FF800080"/>
      <rgbColor rgb="FF008080"/>
      <rgbColor rgb="FFCCCCCC"/>
      <rgbColor rgb="FF888780"/>
      <rgbColor rgb="FFAAAAAA"/>
      <rgbColor rgb="FF993366"/>
      <rgbColor rgb="FFFFF3CD"/>
      <rgbColor rgb="FFE1F5EE"/>
      <rgbColor rgb="FF660066"/>
      <rgbColor rgb="FFFF8080"/>
      <rgbColor rgb="FF0071E3"/>
      <rgbColor rgb="FFD6E4F7"/>
      <rgbColor rgb="FF000080"/>
      <rgbColor rgb="FFFF00FF"/>
      <rgbColor rgb="FFFFFF00"/>
      <rgbColor rgb="FF00FFFF"/>
      <rgbColor rgb="FF800080"/>
      <rgbColor rgb="FF800000"/>
      <rgbColor rgb="FF008080"/>
      <rgbColor rgb="FF0000FF"/>
      <rgbColor rgb="FF00CCFF"/>
      <rgbColor rgb="FFE8EEF6"/>
      <rgbColor rgb="FFF2F2F2"/>
      <rgbColor rgb="FFFFFFF0"/>
      <rgbColor rgb="FFF5F8FC"/>
      <rgbColor rgb="FFFF99CC"/>
      <rgbColor rgb="FFCC99FF"/>
      <rgbColor rgb="FFFAECE7"/>
      <rgbColor rgb="FF3366FF"/>
      <rgbColor rgb="FF33CCCC"/>
      <rgbColor rgb="FF99CC00"/>
      <rgbColor rgb="FFFFCC00"/>
      <rgbColor rgb="FFFF9900"/>
      <rgbColor rgb="FFD85A30"/>
      <rgbColor rgb="FF534AB7"/>
      <rgbColor rgb="FF888888"/>
      <rgbColor rgb="FF003366"/>
      <rgbColor rgb="FF1D9E75"/>
      <rgbColor rgb="FF003300"/>
      <rgbColor rgb="FF1D1D1F"/>
      <rgbColor rgb="FF6644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D1D1F"/>
  </sheetPr>
  <dimension ref="A1:I54"/>
  <sheetViews>
    <sheetView showGridLines="0" tabSelected="1" zoomScaleNormal="100" workbookViewId="0"/>
  </sheetViews>
  <sheetFormatPr baseColWidth="10" defaultColWidth="8.6640625" defaultRowHeight="15" x14ac:dyDescent="0.2"/>
  <cols>
    <col min="1" max="1" width="4" customWidth="1"/>
    <col min="2" max="2" width="32" customWidth="1"/>
    <col min="3" max="5" width="24" customWidth="1"/>
  </cols>
  <sheetData>
    <row r="1" spans="1:9" ht="18" customHeight="1" x14ac:dyDescent="0.2"/>
    <row r="2" spans="1:9" ht="18" customHeight="1" x14ac:dyDescent="0.2">
      <c r="A2" s="15"/>
      <c r="B2" s="15"/>
      <c r="C2" s="15"/>
      <c r="D2" s="15"/>
      <c r="E2" s="15"/>
      <c r="F2" s="15"/>
      <c r="G2" s="15"/>
      <c r="H2" s="15"/>
      <c r="I2" s="15"/>
    </row>
    <row r="3" spans="1:9" ht="18" customHeight="1" x14ac:dyDescent="0.2">
      <c r="A3" s="15"/>
      <c r="B3" s="14" t="s">
        <v>0</v>
      </c>
      <c r="C3" s="14"/>
      <c r="D3" s="14"/>
      <c r="E3" s="14"/>
      <c r="F3" s="14"/>
      <c r="G3" s="14"/>
      <c r="H3" s="14"/>
      <c r="I3" s="15"/>
    </row>
    <row r="4" spans="1:9" ht="18" customHeight="1" x14ac:dyDescent="0.2">
      <c r="A4" s="15"/>
      <c r="B4" s="14"/>
      <c r="C4" s="14"/>
      <c r="D4" s="14"/>
      <c r="E4" s="14"/>
      <c r="F4" s="14"/>
      <c r="G4" s="14"/>
      <c r="H4" s="14"/>
      <c r="I4" s="15"/>
    </row>
    <row r="5" spans="1:9" ht="18" customHeight="1" x14ac:dyDescent="0.2">
      <c r="A5" s="15"/>
      <c r="B5" s="14"/>
      <c r="C5" s="14"/>
      <c r="D5" s="14"/>
      <c r="E5" s="14"/>
      <c r="F5" s="14"/>
      <c r="G5" s="14"/>
      <c r="H5" s="14"/>
      <c r="I5" s="15"/>
    </row>
    <row r="6" spans="1:9" ht="18" customHeight="1" x14ac:dyDescent="0.2">
      <c r="A6" s="15"/>
      <c r="B6" s="13" t="s">
        <v>1</v>
      </c>
      <c r="C6" s="13"/>
      <c r="D6" s="13"/>
      <c r="E6" s="13"/>
      <c r="F6" s="13"/>
      <c r="G6" s="13"/>
      <c r="H6" s="13"/>
      <c r="I6" s="15"/>
    </row>
    <row r="7" spans="1:9" ht="18" customHeight="1" x14ac:dyDescent="0.2">
      <c r="A7" s="15"/>
      <c r="B7" s="13"/>
      <c r="C7" s="13"/>
      <c r="D7" s="13"/>
      <c r="E7" s="13"/>
      <c r="F7" s="13"/>
      <c r="G7" s="13"/>
      <c r="H7" s="13"/>
      <c r="I7" s="15"/>
    </row>
    <row r="8" spans="1:9" ht="18" customHeight="1" x14ac:dyDescent="0.2">
      <c r="A8" s="15"/>
      <c r="B8" s="12" t="s">
        <v>2</v>
      </c>
      <c r="C8" s="12"/>
      <c r="D8" s="12"/>
      <c r="E8" s="12"/>
      <c r="F8" s="12"/>
      <c r="G8" s="12"/>
      <c r="H8" s="12"/>
      <c r="I8" s="15"/>
    </row>
    <row r="9" spans="1:9" ht="18" customHeight="1" x14ac:dyDescent="0.2">
      <c r="A9" s="15"/>
      <c r="B9" s="12"/>
      <c r="C9" s="12"/>
      <c r="D9" s="12"/>
      <c r="E9" s="12"/>
      <c r="F9" s="12"/>
      <c r="G9" s="12"/>
      <c r="H9" s="12"/>
      <c r="I9" s="15"/>
    </row>
    <row r="10" spans="1:9" ht="18" customHeight="1" x14ac:dyDescent="0.2">
      <c r="A10" s="15"/>
      <c r="B10" s="15"/>
      <c r="C10" s="15"/>
      <c r="D10" s="15"/>
      <c r="E10" s="15"/>
      <c r="F10" s="15"/>
      <c r="G10" s="15"/>
      <c r="H10" s="15"/>
      <c r="I10" s="15"/>
    </row>
    <row r="11" spans="1:9" ht="18" customHeight="1" x14ac:dyDescent="0.2">
      <c r="A11" s="15"/>
      <c r="B11" s="11" t="s">
        <v>3</v>
      </c>
      <c r="C11" s="11"/>
      <c r="D11" s="11"/>
      <c r="E11" s="15"/>
      <c r="F11" s="11" t="s">
        <v>4</v>
      </c>
      <c r="G11" s="11"/>
      <c r="H11" s="11"/>
      <c r="I11" s="15"/>
    </row>
    <row r="12" spans="1:9" ht="18" customHeight="1" x14ac:dyDescent="0.2">
      <c r="A12" s="15"/>
      <c r="B12" s="15"/>
      <c r="C12" s="15"/>
      <c r="D12" s="15"/>
      <c r="E12" s="15"/>
      <c r="F12" s="15"/>
      <c r="G12" s="15"/>
      <c r="H12" s="15"/>
      <c r="I12" s="15"/>
    </row>
    <row r="13" spans="1:9" ht="3.75" customHeight="1" x14ac:dyDescent="0.2">
      <c r="A13" s="16"/>
      <c r="B13" s="16"/>
      <c r="C13" s="16"/>
      <c r="D13" s="16"/>
      <c r="E13" s="16"/>
      <c r="F13" s="16"/>
      <c r="G13" s="16"/>
      <c r="H13" s="16"/>
      <c r="I13" s="16"/>
    </row>
    <row r="14" spans="1:9" ht="18" customHeight="1" x14ac:dyDescent="0.2"/>
    <row r="15" spans="1:9" ht="13.5" customHeight="1" x14ac:dyDescent="0.2">
      <c r="B15" s="17" t="s">
        <v>5</v>
      </c>
      <c r="D15" s="17" t="s">
        <v>6</v>
      </c>
      <c r="F15" s="17" t="s">
        <v>7</v>
      </c>
      <c r="H15" s="17" t="s">
        <v>8</v>
      </c>
    </row>
    <row r="16" spans="1:9" ht="27.75" customHeight="1" x14ac:dyDescent="0.2">
      <c r="B16" s="18" t="s">
        <v>9</v>
      </c>
      <c r="D16" s="18" t="s">
        <v>10</v>
      </c>
      <c r="F16" s="18" t="s">
        <v>11</v>
      </c>
      <c r="H16" s="18" t="s">
        <v>12</v>
      </c>
    </row>
    <row r="17" spans="2:8" ht="13.5" customHeight="1" x14ac:dyDescent="0.2">
      <c r="B17" s="19" t="s">
        <v>13</v>
      </c>
      <c r="D17" s="19" t="s">
        <v>14</v>
      </c>
      <c r="F17" s="19" t="s">
        <v>15</v>
      </c>
      <c r="H17" s="19" t="s">
        <v>16</v>
      </c>
    </row>
    <row r="18" spans="2:8" ht="18" customHeight="1" x14ac:dyDescent="0.2"/>
    <row r="19" spans="2:8" ht="18" customHeight="1" x14ac:dyDescent="0.2"/>
    <row r="20" spans="2:8" ht="21.75" customHeight="1" x14ac:dyDescent="0.2">
      <c r="B20" s="10" t="s">
        <v>17</v>
      </c>
      <c r="C20" s="10"/>
      <c r="D20" s="10"/>
      <c r="E20" s="10"/>
      <c r="F20" s="10"/>
      <c r="G20" s="10"/>
      <c r="H20" s="10"/>
    </row>
    <row r="21" spans="2:8" ht="19.5" customHeight="1" x14ac:dyDescent="0.2">
      <c r="B21" s="20" t="s">
        <v>18</v>
      </c>
      <c r="C21" s="9" t="s">
        <v>19</v>
      </c>
      <c r="D21" s="9"/>
      <c r="E21" s="9"/>
      <c r="F21" s="9"/>
      <c r="G21" s="9"/>
      <c r="H21" s="9"/>
    </row>
    <row r="22" spans="2:8" ht="19.5" customHeight="1" x14ac:dyDescent="0.2">
      <c r="B22" s="21" t="s">
        <v>20</v>
      </c>
      <c r="C22" s="8" t="s">
        <v>21</v>
      </c>
      <c r="D22" s="8"/>
      <c r="E22" s="8"/>
      <c r="F22" s="8"/>
      <c r="G22" s="8"/>
      <c r="H22" s="8"/>
    </row>
    <row r="23" spans="2:8" ht="19.5" customHeight="1" x14ac:dyDescent="0.2">
      <c r="B23" s="20" t="s">
        <v>22</v>
      </c>
      <c r="C23" s="9" t="s">
        <v>23</v>
      </c>
      <c r="D23" s="9"/>
      <c r="E23" s="9"/>
      <c r="F23" s="9"/>
      <c r="G23" s="9"/>
      <c r="H23" s="9"/>
    </row>
    <row r="24" spans="2:8" ht="19.5" customHeight="1" x14ac:dyDescent="0.2">
      <c r="B24" s="21" t="s">
        <v>24</v>
      </c>
      <c r="C24" s="8" t="s">
        <v>25</v>
      </c>
      <c r="D24" s="8"/>
      <c r="E24" s="8"/>
      <c r="F24" s="8"/>
      <c r="G24" s="8"/>
      <c r="H24" s="8"/>
    </row>
    <row r="25" spans="2:8" ht="19.5" customHeight="1" x14ac:dyDescent="0.2">
      <c r="B25" s="20" t="s">
        <v>26</v>
      </c>
      <c r="C25" s="9" t="s">
        <v>27</v>
      </c>
      <c r="D25" s="9"/>
      <c r="E25" s="9"/>
      <c r="F25" s="9"/>
      <c r="G25" s="9"/>
      <c r="H25" s="9"/>
    </row>
    <row r="26" spans="2:8" ht="19.5" customHeight="1" x14ac:dyDescent="0.2">
      <c r="B26" s="21" t="s">
        <v>28</v>
      </c>
      <c r="C26" s="8" t="s">
        <v>29</v>
      </c>
      <c r="D26" s="8"/>
      <c r="E26" s="8"/>
      <c r="F26" s="8"/>
      <c r="G26" s="8"/>
      <c r="H26" s="8"/>
    </row>
    <row r="27" spans="2:8" ht="18" customHeight="1" x14ac:dyDescent="0.2"/>
    <row r="28" spans="2:8" ht="18" customHeight="1" x14ac:dyDescent="0.2"/>
    <row r="29" spans="2:8" ht="18" customHeight="1" x14ac:dyDescent="0.2">
      <c r="B29" s="7" t="s">
        <v>30</v>
      </c>
      <c r="C29" s="7"/>
      <c r="D29" s="7"/>
      <c r="E29" s="7"/>
      <c r="F29" s="7"/>
      <c r="G29" s="7"/>
      <c r="H29" s="7"/>
    </row>
    <row r="30" spans="2:8" ht="18" customHeight="1" x14ac:dyDescent="0.2">
      <c r="B30" s="7"/>
      <c r="C30" s="7"/>
      <c r="D30" s="7"/>
      <c r="E30" s="7"/>
      <c r="F30" s="7"/>
      <c r="G30" s="7"/>
      <c r="H30" s="7"/>
    </row>
    <row r="31" spans="2:8" ht="18" customHeight="1" x14ac:dyDescent="0.2">
      <c r="B31" s="7"/>
      <c r="C31" s="7"/>
      <c r="D31" s="7"/>
      <c r="E31" s="7"/>
      <c r="F31" s="7"/>
      <c r="G31" s="7"/>
      <c r="H31" s="7"/>
    </row>
    <row r="32" spans="2:8" ht="18" customHeight="1" x14ac:dyDescent="0.2"/>
    <row r="33" ht="18" customHeight="1" x14ac:dyDescent="0.2"/>
    <row r="34" ht="18" customHeight="1" x14ac:dyDescent="0.2"/>
    <row r="35" ht="18" customHeight="1" x14ac:dyDescent="0.2"/>
    <row r="36" ht="18" customHeight="1" x14ac:dyDescent="0.2"/>
    <row r="37" ht="18" customHeight="1" x14ac:dyDescent="0.2"/>
    <row r="38" ht="18" customHeight="1" x14ac:dyDescent="0.2"/>
    <row r="39" ht="18" customHeight="1" x14ac:dyDescent="0.2"/>
    <row r="40" ht="18" customHeight="1" x14ac:dyDescent="0.2"/>
    <row r="41" ht="18" customHeight="1" x14ac:dyDescent="0.2"/>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sheetData>
  <mergeCells count="13">
    <mergeCell ref="C25:H25"/>
    <mergeCell ref="C26:H26"/>
    <mergeCell ref="B29:H31"/>
    <mergeCell ref="B20:H20"/>
    <mergeCell ref="C21:H21"/>
    <mergeCell ref="C22:H22"/>
    <mergeCell ref="C23:H23"/>
    <mergeCell ref="C24:H24"/>
    <mergeCell ref="B3:H5"/>
    <mergeCell ref="B6:H7"/>
    <mergeCell ref="B8:H9"/>
    <mergeCell ref="B11:D11"/>
    <mergeCell ref="F11:H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1E3"/>
  </sheetPr>
  <dimension ref="A1:J36"/>
  <sheetViews>
    <sheetView showGridLines="0" zoomScaleNormal="100" workbookViewId="0"/>
  </sheetViews>
  <sheetFormatPr baseColWidth="10" defaultColWidth="8.6640625" defaultRowHeight="15" x14ac:dyDescent="0.2"/>
  <cols>
    <col min="1" max="1" width="3" customWidth="1"/>
    <col min="2" max="2" width="38" customWidth="1"/>
    <col min="3" max="9" width="14" customWidth="1"/>
    <col min="10" max="10" width="5" customWidth="1"/>
  </cols>
  <sheetData>
    <row r="1" spans="1:10" ht="6" customHeight="1" x14ac:dyDescent="0.2">
      <c r="A1" s="15"/>
      <c r="B1" s="15"/>
      <c r="C1" s="15"/>
      <c r="D1" s="15"/>
      <c r="E1" s="15"/>
      <c r="F1" s="15"/>
      <c r="G1" s="15"/>
      <c r="H1" s="15"/>
      <c r="I1" s="15"/>
      <c r="J1" s="15"/>
    </row>
    <row r="2" spans="1:10" ht="27.75" customHeight="1" x14ac:dyDescent="0.2">
      <c r="B2" s="6" t="s">
        <v>31</v>
      </c>
      <c r="C2" s="6"/>
      <c r="D2" s="6"/>
      <c r="E2" s="6"/>
      <c r="F2" s="6"/>
      <c r="G2" s="6"/>
      <c r="H2" s="6"/>
      <c r="I2" s="6"/>
    </row>
    <row r="3" spans="1:10" ht="18" customHeight="1" x14ac:dyDescent="0.2">
      <c r="B3" s="5" t="s">
        <v>32</v>
      </c>
      <c r="C3" s="5"/>
      <c r="D3" s="5"/>
      <c r="E3" s="5"/>
      <c r="F3" s="5"/>
      <c r="G3" s="5"/>
      <c r="H3" s="5"/>
      <c r="I3" s="5"/>
    </row>
    <row r="4" spans="1:10" ht="3" customHeight="1" x14ac:dyDescent="0.2">
      <c r="A4" s="16"/>
      <c r="B4" s="16"/>
      <c r="C4" s="16"/>
      <c r="D4" s="16"/>
      <c r="E4" s="16"/>
      <c r="F4" s="16"/>
      <c r="G4" s="16"/>
      <c r="H4" s="16"/>
      <c r="I4" s="16"/>
      <c r="J4" s="16"/>
    </row>
    <row r="5" spans="1:10" ht="21.75" customHeight="1" x14ac:dyDescent="0.2">
      <c r="B5" s="22" t="s">
        <v>33</v>
      </c>
      <c r="C5" s="23" t="s">
        <v>34</v>
      </c>
      <c r="D5" s="23" t="s">
        <v>35</v>
      </c>
      <c r="E5" s="23" t="s">
        <v>36</v>
      </c>
      <c r="F5" s="23" t="s">
        <v>37</v>
      </c>
      <c r="G5" s="24" t="s">
        <v>38</v>
      </c>
      <c r="H5" s="24" t="s">
        <v>39</v>
      </c>
      <c r="I5" s="24" t="s">
        <v>40</v>
      </c>
    </row>
    <row r="6" spans="1:10" ht="19.5" customHeight="1" x14ac:dyDescent="0.2">
      <c r="A6" s="25"/>
      <c r="B6" s="26" t="s">
        <v>41</v>
      </c>
      <c r="C6" s="25"/>
      <c r="D6" s="25"/>
      <c r="E6" s="25"/>
      <c r="F6" s="25"/>
      <c r="G6" s="25"/>
      <c r="H6" s="25"/>
      <c r="I6" s="25"/>
      <c r="J6" s="25"/>
    </row>
    <row r="7" spans="1:10" ht="18" customHeight="1" x14ac:dyDescent="0.2">
      <c r="B7" s="27" t="s">
        <v>42</v>
      </c>
      <c r="C7" s="28">
        <v>205489</v>
      </c>
      <c r="D7" s="28">
        <v>200583</v>
      </c>
      <c r="E7" s="28">
        <v>201183</v>
      </c>
      <c r="F7" s="28">
        <v>209627</v>
      </c>
      <c r="G7" s="29">
        <v>230000</v>
      </c>
      <c r="H7" s="29">
        <v>249000</v>
      </c>
      <c r="I7" s="29">
        <v>268000</v>
      </c>
    </row>
    <row r="8" spans="1:10" ht="18" customHeight="1" x14ac:dyDescent="0.2">
      <c r="B8" s="30" t="s">
        <v>43</v>
      </c>
      <c r="C8" s="31">
        <v>40177</v>
      </c>
      <c r="D8" s="31">
        <v>29357</v>
      </c>
      <c r="E8" s="31">
        <v>29984</v>
      </c>
      <c r="F8" s="31">
        <v>29984</v>
      </c>
      <c r="G8" s="32">
        <v>32000</v>
      </c>
      <c r="H8" s="32">
        <v>34500</v>
      </c>
      <c r="I8" s="32">
        <v>37000</v>
      </c>
    </row>
    <row r="9" spans="1:10" ht="18" customHeight="1" x14ac:dyDescent="0.2">
      <c r="B9" s="27" t="s">
        <v>44</v>
      </c>
      <c r="C9" s="28">
        <v>29292</v>
      </c>
      <c r="D9" s="28">
        <v>28300</v>
      </c>
      <c r="E9" s="28">
        <v>26694</v>
      </c>
      <c r="F9" s="28">
        <v>26694</v>
      </c>
      <c r="G9" s="29">
        <v>28000</v>
      </c>
      <c r="H9" s="29">
        <v>29500</v>
      </c>
      <c r="I9" s="29">
        <v>31000</v>
      </c>
    </row>
    <row r="10" spans="1:10" ht="18" customHeight="1" x14ac:dyDescent="0.2">
      <c r="B10" s="30" t="s">
        <v>45</v>
      </c>
      <c r="C10" s="31">
        <v>41241</v>
      </c>
      <c r="D10" s="31">
        <v>39845</v>
      </c>
      <c r="E10" s="31">
        <v>37005</v>
      </c>
      <c r="F10" s="31">
        <v>37005</v>
      </c>
      <c r="G10" s="32">
        <v>39000</v>
      </c>
      <c r="H10" s="32">
        <v>41500</v>
      </c>
      <c r="I10" s="32">
        <v>44000</v>
      </c>
    </row>
    <row r="11" spans="1:10" ht="18" customHeight="1" x14ac:dyDescent="0.2">
      <c r="B11" s="27" t="s">
        <v>46</v>
      </c>
      <c r="C11" s="28">
        <v>78129</v>
      </c>
      <c r="D11" s="28">
        <v>85200</v>
      </c>
      <c r="E11" s="28">
        <v>96169</v>
      </c>
      <c r="F11" s="28">
        <v>109158</v>
      </c>
      <c r="G11" s="29">
        <v>123000</v>
      </c>
      <c r="H11" s="29">
        <v>138000</v>
      </c>
      <c r="I11" s="29">
        <v>155000</v>
      </c>
    </row>
    <row r="12" spans="1:10" ht="18" customHeight="1" x14ac:dyDescent="0.2">
      <c r="B12" s="33" t="s">
        <v>47</v>
      </c>
      <c r="C12" s="34">
        <v>394328</v>
      </c>
      <c r="D12" s="34">
        <v>383285</v>
      </c>
      <c r="E12" s="34">
        <v>391035</v>
      </c>
      <c r="F12" s="34">
        <v>416468</v>
      </c>
      <c r="G12" s="34">
        <v>458000</v>
      </c>
      <c r="H12" s="34">
        <v>496000</v>
      </c>
      <c r="I12" s="34">
        <v>536000</v>
      </c>
    </row>
    <row r="13" spans="1:10" ht="18" customHeight="1" x14ac:dyDescent="0.2">
      <c r="B13" s="27" t="s">
        <v>48</v>
      </c>
      <c r="C13" s="35" t="s">
        <v>49</v>
      </c>
      <c r="D13" s="36">
        <f t="shared" ref="D13:I13" si="0">(D12-C12)/C12</f>
        <v>-2.8004605303199367E-2</v>
      </c>
      <c r="E13" s="36">
        <f t="shared" si="0"/>
        <v>2.0219940775141214E-2</v>
      </c>
      <c r="F13" s="36">
        <f t="shared" si="0"/>
        <v>6.5040213791604337E-2</v>
      </c>
      <c r="G13" s="37">
        <f t="shared" si="0"/>
        <v>9.9724348569397894E-2</v>
      </c>
      <c r="H13" s="37">
        <f t="shared" si="0"/>
        <v>8.296943231441048E-2</v>
      </c>
      <c r="I13" s="37">
        <f t="shared" si="0"/>
        <v>8.0645161290322578E-2</v>
      </c>
    </row>
    <row r="14" spans="1:10" ht="19.5" customHeight="1" x14ac:dyDescent="0.2">
      <c r="A14" s="25"/>
      <c r="B14" s="26" t="s">
        <v>50</v>
      </c>
      <c r="C14" s="25"/>
      <c r="D14" s="25"/>
      <c r="E14" s="25"/>
      <c r="F14" s="25"/>
      <c r="G14" s="25"/>
      <c r="H14" s="25"/>
      <c r="I14" s="25"/>
      <c r="J14" s="25"/>
    </row>
    <row r="15" spans="1:10" ht="18" customHeight="1" x14ac:dyDescent="0.2">
      <c r="B15" s="27" t="s">
        <v>51</v>
      </c>
      <c r="C15" s="28">
        <v>201471</v>
      </c>
      <c r="D15" s="28">
        <v>189282</v>
      </c>
      <c r="E15" s="28">
        <v>193230</v>
      </c>
      <c r="F15" s="28">
        <v>201143</v>
      </c>
      <c r="G15" s="29">
        <v>207749</v>
      </c>
      <c r="H15" s="29">
        <v>224152</v>
      </c>
      <c r="I15" s="29">
        <v>240878</v>
      </c>
    </row>
    <row r="16" spans="1:10" ht="18" customHeight="1" x14ac:dyDescent="0.2">
      <c r="B16" s="30" t="s">
        <v>52</v>
      </c>
      <c r="C16" s="31">
        <v>21178</v>
      </c>
      <c r="D16" s="31">
        <v>24855</v>
      </c>
      <c r="E16" s="31">
        <v>26960</v>
      </c>
      <c r="F16" s="31">
        <v>30137</v>
      </c>
      <c r="G16" s="32">
        <v>39571</v>
      </c>
      <c r="H16" s="32">
        <v>42696</v>
      </c>
      <c r="I16" s="32">
        <v>45882</v>
      </c>
    </row>
    <row r="17" spans="1:10" ht="18" customHeight="1" x14ac:dyDescent="0.2">
      <c r="B17" s="33" t="s">
        <v>53</v>
      </c>
      <c r="C17" s="34">
        <v>222649</v>
      </c>
      <c r="D17" s="34">
        <v>214137</v>
      </c>
      <c r="E17" s="34">
        <v>220190</v>
      </c>
      <c r="F17" s="34">
        <v>231280</v>
      </c>
      <c r="G17" s="34">
        <v>247320</v>
      </c>
      <c r="H17" s="34">
        <v>266848</v>
      </c>
      <c r="I17" s="34">
        <v>286760</v>
      </c>
    </row>
    <row r="18" spans="1:10" ht="18" customHeight="1" x14ac:dyDescent="0.2">
      <c r="B18" s="33" t="s">
        <v>54</v>
      </c>
      <c r="C18" s="34">
        <v>170782</v>
      </c>
      <c r="D18" s="34">
        <v>169148</v>
      </c>
      <c r="E18" s="34">
        <v>170845</v>
      </c>
      <c r="F18" s="34">
        <v>185188</v>
      </c>
      <c r="G18" s="34">
        <v>210680</v>
      </c>
      <c r="H18" s="34">
        <v>229152</v>
      </c>
      <c r="I18" s="34">
        <v>249240</v>
      </c>
    </row>
    <row r="19" spans="1:10" ht="18" customHeight="1" x14ac:dyDescent="0.2">
      <c r="B19" s="27" t="s">
        <v>55</v>
      </c>
      <c r="C19" s="36">
        <f t="shared" ref="C19:I19" si="1">C18/C12</f>
        <v>0.43309630561360085</v>
      </c>
      <c r="D19" s="36">
        <f t="shared" si="1"/>
        <v>0.44131129577207562</v>
      </c>
      <c r="E19" s="36">
        <f t="shared" si="1"/>
        <v>0.43690462490569898</v>
      </c>
      <c r="F19" s="36">
        <f t="shared" si="1"/>
        <v>0.44466321542111281</v>
      </c>
      <c r="G19" s="37">
        <f t="shared" si="1"/>
        <v>0.46</v>
      </c>
      <c r="H19" s="37">
        <f t="shared" si="1"/>
        <v>0.46200000000000002</v>
      </c>
      <c r="I19" s="37">
        <f t="shared" si="1"/>
        <v>0.46500000000000002</v>
      </c>
    </row>
    <row r="20" spans="1:10" ht="19.5" customHeight="1" x14ac:dyDescent="0.2">
      <c r="A20" s="25"/>
      <c r="B20" s="26" t="s">
        <v>56</v>
      </c>
      <c r="C20" s="25"/>
      <c r="D20" s="25"/>
      <c r="E20" s="25"/>
      <c r="F20" s="25"/>
      <c r="G20" s="25"/>
      <c r="H20" s="25"/>
      <c r="I20" s="25"/>
      <c r="J20" s="25"/>
    </row>
    <row r="21" spans="1:10" ht="18" customHeight="1" x14ac:dyDescent="0.2">
      <c r="B21" s="27" t="s">
        <v>57</v>
      </c>
      <c r="C21" s="28">
        <v>26251</v>
      </c>
      <c r="D21" s="28">
        <v>29915</v>
      </c>
      <c r="E21" s="28">
        <v>31370</v>
      </c>
      <c r="F21" s="28">
        <v>31370</v>
      </c>
      <c r="G21" s="29">
        <v>34000</v>
      </c>
      <c r="H21" s="29">
        <v>36500</v>
      </c>
      <c r="I21" s="29">
        <v>39000</v>
      </c>
    </row>
    <row r="22" spans="1:10" ht="18" customHeight="1" x14ac:dyDescent="0.2">
      <c r="B22" s="30" t="s">
        <v>58</v>
      </c>
      <c r="C22" s="31">
        <v>25094</v>
      </c>
      <c r="D22" s="31">
        <v>24932</v>
      </c>
      <c r="E22" s="31">
        <v>26097</v>
      </c>
      <c r="F22" s="31">
        <v>26097</v>
      </c>
      <c r="G22" s="32">
        <v>27500</v>
      </c>
      <c r="H22" s="32">
        <v>28500</v>
      </c>
      <c r="I22" s="32">
        <v>29500</v>
      </c>
    </row>
    <row r="23" spans="1:10" ht="18" customHeight="1" x14ac:dyDescent="0.2">
      <c r="B23" s="33" t="s">
        <v>59</v>
      </c>
      <c r="C23" s="34">
        <v>51345</v>
      </c>
      <c r="D23" s="34">
        <v>54847</v>
      </c>
      <c r="E23" s="34">
        <v>57467</v>
      </c>
      <c r="F23" s="34">
        <v>57467</v>
      </c>
      <c r="G23" s="34">
        <v>61500</v>
      </c>
      <c r="H23" s="34">
        <v>65000</v>
      </c>
      <c r="I23" s="34">
        <v>68500</v>
      </c>
    </row>
    <row r="24" spans="1:10" ht="19.5" customHeight="1" x14ac:dyDescent="0.2">
      <c r="A24" s="25"/>
      <c r="B24" s="26" t="s">
        <v>60</v>
      </c>
      <c r="C24" s="25"/>
      <c r="D24" s="25"/>
      <c r="E24" s="25"/>
      <c r="F24" s="25"/>
      <c r="G24" s="25"/>
      <c r="H24" s="25"/>
      <c r="I24" s="25"/>
      <c r="J24" s="25"/>
    </row>
    <row r="25" spans="1:10" ht="18" customHeight="1" x14ac:dyDescent="0.2">
      <c r="B25" s="27" t="s">
        <v>61</v>
      </c>
      <c r="C25" s="38">
        <v>119437</v>
      </c>
      <c r="D25" s="38">
        <v>114301</v>
      </c>
      <c r="E25" s="38">
        <v>123216</v>
      </c>
      <c r="F25" s="38">
        <v>127721</v>
      </c>
      <c r="G25" s="29">
        <v>149180</v>
      </c>
      <c r="H25" s="29">
        <v>164152</v>
      </c>
      <c r="I25" s="29">
        <v>180740</v>
      </c>
    </row>
    <row r="26" spans="1:10" ht="18" customHeight="1" x14ac:dyDescent="0.2">
      <c r="B26" s="30" t="s">
        <v>62</v>
      </c>
      <c r="C26" s="39">
        <f t="shared" ref="C26:I26" si="2">C25/C12</f>
        <v>0.30288744395528594</v>
      </c>
      <c r="D26" s="39">
        <f t="shared" si="2"/>
        <v>0.29821412265024722</v>
      </c>
      <c r="E26" s="39">
        <f t="shared" si="2"/>
        <v>0.31510222870075566</v>
      </c>
      <c r="F26" s="39">
        <f t="shared" si="2"/>
        <v>0.30667662341404384</v>
      </c>
      <c r="G26" s="40">
        <f t="shared" si="2"/>
        <v>0.32572052401746726</v>
      </c>
      <c r="H26" s="40">
        <f t="shared" si="2"/>
        <v>0.33095161290322583</v>
      </c>
      <c r="I26" s="40">
        <f t="shared" si="2"/>
        <v>0.33720149253731341</v>
      </c>
    </row>
    <row r="27" spans="1:10" ht="18" customHeight="1" x14ac:dyDescent="0.2">
      <c r="B27" s="27" t="s">
        <v>63</v>
      </c>
      <c r="C27" s="28">
        <v>2825</v>
      </c>
      <c r="D27" s="28">
        <v>3750</v>
      </c>
      <c r="E27" s="28">
        <v>3862</v>
      </c>
      <c r="F27" s="28">
        <v>3862</v>
      </c>
      <c r="G27" s="29">
        <v>4000</v>
      </c>
      <c r="H27" s="29">
        <v>4200</v>
      </c>
      <c r="I27" s="29">
        <v>4400</v>
      </c>
    </row>
    <row r="28" spans="1:10" ht="18" customHeight="1" x14ac:dyDescent="0.2">
      <c r="B28" s="30" t="s">
        <v>64</v>
      </c>
      <c r="C28" s="41">
        <v>119103</v>
      </c>
      <c r="D28" s="41">
        <v>113736</v>
      </c>
      <c r="E28" s="41">
        <v>123516</v>
      </c>
      <c r="F28" s="41">
        <v>124510</v>
      </c>
      <c r="G28" s="32">
        <v>153180</v>
      </c>
      <c r="H28" s="32">
        <v>168352</v>
      </c>
      <c r="I28" s="32">
        <v>185140</v>
      </c>
    </row>
    <row r="29" spans="1:10" ht="18" customHeight="1" x14ac:dyDescent="0.2">
      <c r="B29" s="27" t="s">
        <v>65</v>
      </c>
      <c r="C29" s="28">
        <v>19300</v>
      </c>
      <c r="D29" s="28">
        <v>29749</v>
      </c>
      <c r="E29" s="28">
        <v>29749</v>
      </c>
      <c r="F29" s="28">
        <v>12500</v>
      </c>
      <c r="G29" s="29">
        <v>22671</v>
      </c>
      <c r="H29" s="29">
        <v>24916</v>
      </c>
      <c r="I29" s="29">
        <v>27401</v>
      </c>
    </row>
    <row r="30" spans="1:10" ht="18" customHeight="1" x14ac:dyDescent="0.2">
      <c r="B30" s="33" t="s">
        <v>66</v>
      </c>
      <c r="C30" s="34">
        <v>99803</v>
      </c>
      <c r="D30" s="34">
        <v>96995</v>
      </c>
      <c r="E30" s="34">
        <v>93736</v>
      </c>
      <c r="F30" s="34">
        <v>112010</v>
      </c>
      <c r="G30" s="34">
        <v>130509</v>
      </c>
      <c r="H30" s="34">
        <v>143436</v>
      </c>
      <c r="I30" s="34">
        <v>157739</v>
      </c>
    </row>
    <row r="31" spans="1:10" ht="18" customHeight="1" x14ac:dyDescent="0.2">
      <c r="B31" s="27" t="s">
        <v>67</v>
      </c>
      <c r="C31" s="36">
        <f t="shared" ref="C31:I31" si="3">C30/C12</f>
        <v>0.25309640705199732</v>
      </c>
      <c r="D31" s="36">
        <f t="shared" si="3"/>
        <v>0.25306234264320282</v>
      </c>
      <c r="E31" s="36">
        <f t="shared" si="3"/>
        <v>0.23971255769943867</v>
      </c>
      <c r="F31" s="36">
        <f t="shared" si="3"/>
        <v>0.2689522364263281</v>
      </c>
      <c r="G31" s="37">
        <f t="shared" si="3"/>
        <v>0.28495414847161571</v>
      </c>
      <c r="H31" s="37">
        <f t="shared" si="3"/>
        <v>0.28918548387096776</v>
      </c>
      <c r="I31" s="37">
        <f t="shared" si="3"/>
        <v>0.29428917910447761</v>
      </c>
    </row>
    <row r="32" spans="1:10" ht="19.5" customHeight="1" x14ac:dyDescent="0.2">
      <c r="A32" s="25"/>
      <c r="B32" s="26" t="s">
        <v>68</v>
      </c>
      <c r="C32" s="25"/>
      <c r="D32" s="25"/>
      <c r="E32" s="25"/>
      <c r="F32" s="25"/>
      <c r="G32" s="25"/>
      <c r="H32" s="25"/>
      <c r="I32" s="25"/>
      <c r="J32" s="25"/>
    </row>
    <row r="33" spans="2:9" ht="18" customHeight="1" x14ac:dyDescent="0.2">
      <c r="B33" s="27" t="s">
        <v>69</v>
      </c>
      <c r="C33" s="42">
        <v>6.15</v>
      </c>
      <c r="D33" s="42">
        <v>6.16</v>
      </c>
      <c r="E33" s="42">
        <v>6.11</v>
      </c>
      <c r="F33" s="42">
        <v>7.49</v>
      </c>
      <c r="G33" s="43">
        <v>8.94</v>
      </c>
      <c r="H33" s="43">
        <v>10.1</v>
      </c>
      <c r="I33" s="43">
        <v>11.43</v>
      </c>
    </row>
    <row r="34" spans="2:9" ht="18" customHeight="1" x14ac:dyDescent="0.2">
      <c r="B34" s="30" t="s">
        <v>70</v>
      </c>
      <c r="C34" s="44">
        <v>6.11</v>
      </c>
      <c r="D34" s="44">
        <v>6.13</v>
      </c>
      <c r="E34" s="44">
        <v>6.08</v>
      </c>
      <c r="F34" s="44">
        <v>7.46</v>
      </c>
      <c r="G34" s="45">
        <v>8.93</v>
      </c>
      <c r="H34" s="45">
        <v>10.09</v>
      </c>
      <c r="I34" s="45">
        <v>11.42</v>
      </c>
    </row>
    <row r="35" spans="2:9" ht="18" customHeight="1" x14ac:dyDescent="0.2">
      <c r="B35" s="27" t="s">
        <v>71</v>
      </c>
      <c r="C35" s="46">
        <v>16215</v>
      </c>
      <c r="D35" s="46">
        <v>15744</v>
      </c>
      <c r="E35" s="46">
        <v>15343</v>
      </c>
      <c r="F35" s="46">
        <v>14958</v>
      </c>
      <c r="G35" s="47">
        <v>14600</v>
      </c>
      <c r="H35" s="47">
        <v>14200</v>
      </c>
      <c r="I35" s="47">
        <v>13800</v>
      </c>
    </row>
    <row r="36" spans="2:9" ht="18" customHeight="1" x14ac:dyDescent="0.2">
      <c r="B36" s="30" t="s">
        <v>72</v>
      </c>
      <c r="C36" s="44">
        <v>0.9</v>
      </c>
      <c r="D36" s="44">
        <v>0.94</v>
      </c>
      <c r="E36" s="44">
        <v>0.98</v>
      </c>
      <c r="F36" s="44">
        <v>1</v>
      </c>
      <c r="G36" s="45">
        <v>1.04</v>
      </c>
      <c r="H36" s="45">
        <v>1.08</v>
      </c>
      <c r="I36" s="45">
        <v>1.1200000000000001</v>
      </c>
    </row>
  </sheetData>
  <mergeCells count="2">
    <mergeCell ref="B2:I2"/>
    <mergeCell ref="B3:I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D9E75"/>
  </sheetPr>
  <dimension ref="A1:J26"/>
  <sheetViews>
    <sheetView showGridLines="0" zoomScaleNormal="100" workbookViewId="0"/>
  </sheetViews>
  <sheetFormatPr baseColWidth="10" defaultColWidth="8.6640625" defaultRowHeight="15" x14ac:dyDescent="0.2"/>
  <cols>
    <col min="1" max="1" width="3" customWidth="1"/>
    <col min="2" max="2" width="30" customWidth="1"/>
    <col min="3" max="9" width="14" customWidth="1"/>
    <col min="10" max="10" width="5" customWidth="1"/>
  </cols>
  <sheetData>
    <row r="1" spans="1:10" ht="6" customHeight="1" x14ac:dyDescent="0.2">
      <c r="A1" s="15"/>
      <c r="B1" s="15"/>
      <c r="C1" s="15"/>
      <c r="D1" s="15"/>
      <c r="E1" s="15"/>
      <c r="F1" s="15"/>
      <c r="G1" s="15"/>
      <c r="H1" s="15"/>
      <c r="I1" s="15"/>
      <c r="J1" s="15"/>
    </row>
    <row r="2" spans="1:10" ht="25.5" customHeight="1" x14ac:dyDescent="0.2">
      <c r="B2" s="6" t="s">
        <v>73</v>
      </c>
      <c r="C2" s="6"/>
      <c r="D2" s="6"/>
      <c r="E2" s="6"/>
      <c r="F2" s="6"/>
      <c r="G2" s="6"/>
      <c r="H2" s="6"/>
      <c r="I2" s="6"/>
    </row>
    <row r="3" spans="1:10" ht="15.75" customHeight="1" x14ac:dyDescent="0.2">
      <c r="B3" s="5" t="s">
        <v>74</v>
      </c>
      <c r="C3" s="5"/>
      <c r="D3" s="5"/>
      <c r="E3" s="5"/>
      <c r="F3" s="5"/>
      <c r="G3" s="5"/>
      <c r="H3" s="5"/>
      <c r="I3" s="5"/>
    </row>
    <row r="4" spans="1:10" ht="3" customHeight="1" x14ac:dyDescent="0.2">
      <c r="A4" s="16"/>
      <c r="B4" s="16"/>
      <c r="C4" s="16"/>
      <c r="D4" s="16"/>
      <c r="E4" s="16"/>
      <c r="F4" s="16"/>
      <c r="G4" s="16"/>
      <c r="H4" s="16"/>
      <c r="I4" s="16"/>
      <c r="J4" s="16"/>
    </row>
    <row r="5" spans="1:10" ht="21.75" customHeight="1" x14ac:dyDescent="0.2">
      <c r="B5" s="22" t="s">
        <v>75</v>
      </c>
      <c r="C5" s="48" t="s">
        <v>34</v>
      </c>
      <c r="D5" s="48" t="s">
        <v>35</v>
      </c>
      <c r="E5" s="48" t="s">
        <v>36</v>
      </c>
      <c r="F5" s="48" t="s">
        <v>37</v>
      </c>
      <c r="G5" s="49" t="s">
        <v>38</v>
      </c>
      <c r="H5" s="49" t="s">
        <v>39</v>
      </c>
      <c r="I5" s="49" t="s">
        <v>40</v>
      </c>
    </row>
    <row r="6" spans="1:10" ht="18" customHeight="1" x14ac:dyDescent="0.2">
      <c r="A6" s="25"/>
      <c r="B6" s="26" t="s">
        <v>76</v>
      </c>
      <c r="C6" s="25"/>
      <c r="D6" s="25"/>
      <c r="E6" s="25"/>
      <c r="F6" s="25"/>
      <c r="G6" s="25"/>
      <c r="H6" s="25"/>
      <c r="I6" s="25"/>
      <c r="J6" s="25"/>
    </row>
    <row r="7" spans="1:10" ht="18" customHeight="1" x14ac:dyDescent="0.2">
      <c r="B7" s="27" t="s">
        <v>42</v>
      </c>
      <c r="C7" s="28">
        <v>205489</v>
      </c>
      <c r="D7" s="28">
        <v>200583</v>
      </c>
      <c r="E7" s="28">
        <v>201183</v>
      </c>
      <c r="F7" s="28">
        <v>209627</v>
      </c>
      <c r="G7" s="50">
        <v>230000</v>
      </c>
      <c r="H7" s="50">
        <v>249000</v>
      </c>
      <c r="I7" s="50">
        <v>268000</v>
      </c>
    </row>
    <row r="8" spans="1:10" ht="18" customHeight="1" x14ac:dyDescent="0.2">
      <c r="B8" s="30" t="s">
        <v>43</v>
      </c>
      <c r="C8" s="31">
        <v>40177</v>
      </c>
      <c r="D8" s="31">
        <v>29357</v>
      </c>
      <c r="E8" s="31">
        <v>29984</v>
      </c>
      <c r="F8" s="31">
        <v>29984</v>
      </c>
      <c r="G8" s="51">
        <v>32000</v>
      </c>
      <c r="H8" s="51">
        <v>34500</v>
      </c>
      <c r="I8" s="51">
        <v>37000</v>
      </c>
    </row>
    <row r="9" spans="1:10" ht="18" customHeight="1" x14ac:dyDescent="0.2">
      <c r="B9" s="27" t="s">
        <v>44</v>
      </c>
      <c r="C9" s="28">
        <v>29292</v>
      </c>
      <c r="D9" s="28">
        <v>28300</v>
      </c>
      <c r="E9" s="28">
        <v>26694</v>
      </c>
      <c r="F9" s="28">
        <v>26694</v>
      </c>
      <c r="G9" s="50">
        <v>28000</v>
      </c>
      <c r="H9" s="50">
        <v>29500</v>
      </c>
      <c r="I9" s="50">
        <v>31000</v>
      </c>
    </row>
    <row r="10" spans="1:10" ht="18" customHeight="1" x14ac:dyDescent="0.2">
      <c r="B10" s="30" t="s">
        <v>45</v>
      </c>
      <c r="C10" s="31">
        <v>41241</v>
      </c>
      <c r="D10" s="31">
        <v>39845</v>
      </c>
      <c r="E10" s="31">
        <v>37005</v>
      </c>
      <c r="F10" s="31">
        <v>37005</v>
      </c>
      <c r="G10" s="51">
        <v>39000</v>
      </c>
      <c r="H10" s="51">
        <v>41500</v>
      </c>
      <c r="I10" s="51">
        <v>44000</v>
      </c>
    </row>
    <row r="11" spans="1:10" ht="18" customHeight="1" x14ac:dyDescent="0.2">
      <c r="B11" s="33" t="s">
        <v>77</v>
      </c>
      <c r="C11" s="34">
        <v>316199</v>
      </c>
      <c r="D11" s="34">
        <v>298085</v>
      </c>
      <c r="E11" s="34">
        <v>294866</v>
      </c>
      <c r="F11" s="34">
        <v>303310</v>
      </c>
      <c r="G11" s="52">
        <v>458000</v>
      </c>
      <c r="H11" s="52">
        <v>496000</v>
      </c>
      <c r="I11" s="52">
        <v>536000</v>
      </c>
    </row>
    <row r="12" spans="1:10" ht="18" customHeight="1" x14ac:dyDescent="0.2">
      <c r="A12" s="25"/>
      <c r="B12" s="26" t="s">
        <v>78</v>
      </c>
      <c r="C12" s="25"/>
      <c r="D12" s="25"/>
      <c r="E12" s="25"/>
      <c r="F12" s="25"/>
      <c r="G12" s="25"/>
      <c r="H12" s="25"/>
      <c r="I12" s="25"/>
      <c r="J12" s="25"/>
    </row>
    <row r="13" spans="1:10" ht="18" customHeight="1" x14ac:dyDescent="0.2">
      <c r="B13" s="27" t="s">
        <v>46</v>
      </c>
      <c r="C13" s="28">
        <v>78129</v>
      </c>
      <c r="D13" s="28">
        <v>85200</v>
      </c>
      <c r="E13" s="28">
        <v>96169</v>
      </c>
      <c r="F13" s="28">
        <v>109158</v>
      </c>
      <c r="G13" s="50">
        <v>123000</v>
      </c>
      <c r="H13" s="50">
        <v>138000</v>
      </c>
      <c r="I13" s="50">
        <v>155000</v>
      </c>
    </row>
    <row r="14" spans="1:10" ht="18" customHeight="1" x14ac:dyDescent="0.2">
      <c r="B14" s="30" t="s">
        <v>79</v>
      </c>
      <c r="C14" s="53">
        <f>C13/C15</f>
        <v>0.19813201192915542</v>
      </c>
      <c r="D14" s="53">
        <f>D13/D15</f>
        <v>0.222288897295746</v>
      </c>
      <c r="E14" s="53">
        <f>E13/E15</f>
        <v>0.24593450714130449</v>
      </c>
      <c r="F14" s="53">
        <f>F13/F15</f>
        <v>0.26464598465820377</v>
      </c>
      <c r="G14" s="54"/>
      <c r="H14" s="54"/>
      <c r="I14" s="54"/>
    </row>
    <row r="15" spans="1:10" ht="18" customHeight="1" x14ac:dyDescent="0.2">
      <c r="B15" s="33" t="s">
        <v>80</v>
      </c>
      <c r="C15" s="34">
        <v>394328</v>
      </c>
      <c r="D15" s="34">
        <v>383285</v>
      </c>
      <c r="E15" s="34">
        <v>391035</v>
      </c>
      <c r="F15" s="34">
        <v>412468</v>
      </c>
      <c r="G15" s="52">
        <v>458000</v>
      </c>
      <c r="H15" s="52">
        <v>496000</v>
      </c>
      <c r="I15" s="52">
        <v>536000</v>
      </c>
    </row>
    <row r="16" spans="1:10" ht="18" customHeight="1" x14ac:dyDescent="0.2">
      <c r="A16" s="25"/>
      <c r="B16" s="26" t="s">
        <v>81</v>
      </c>
      <c r="C16" s="25"/>
      <c r="D16" s="25"/>
      <c r="E16" s="25"/>
      <c r="F16" s="25"/>
      <c r="G16" s="25"/>
      <c r="H16" s="25"/>
      <c r="I16" s="25"/>
      <c r="J16" s="25"/>
    </row>
    <row r="17" spans="1:10" ht="18" customHeight="1" x14ac:dyDescent="0.2">
      <c r="B17" s="27" t="s">
        <v>82</v>
      </c>
      <c r="C17" s="28">
        <v>165783</v>
      </c>
      <c r="D17" s="28">
        <v>162560</v>
      </c>
      <c r="E17" s="28">
        <v>167045</v>
      </c>
      <c r="F17" s="28">
        <v>173845</v>
      </c>
      <c r="G17" s="50">
        <v>192000</v>
      </c>
      <c r="H17" s="50">
        <v>207000</v>
      </c>
      <c r="I17" s="50">
        <v>224000</v>
      </c>
    </row>
    <row r="18" spans="1:10" ht="18" customHeight="1" x14ac:dyDescent="0.2">
      <c r="B18" s="30" t="s">
        <v>83</v>
      </c>
      <c r="C18" s="31">
        <v>95118</v>
      </c>
      <c r="D18" s="31">
        <v>94294</v>
      </c>
      <c r="E18" s="31">
        <v>101328</v>
      </c>
      <c r="F18" s="31">
        <v>101328</v>
      </c>
      <c r="G18" s="51">
        <v>111000</v>
      </c>
      <c r="H18" s="51">
        <v>120000</v>
      </c>
      <c r="I18" s="51">
        <v>130000</v>
      </c>
    </row>
    <row r="19" spans="1:10" ht="18" customHeight="1" x14ac:dyDescent="0.2">
      <c r="B19" s="27" t="s">
        <v>84</v>
      </c>
      <c r="C19" s="28">
        <v>74200</v>
      </c>
      <c r="D19" s="28">
        <v>72559</v>
      </c>
      <c r="E19" s="28">
        <v>66952</v>
      </c>
      <c r="F19" s="28">
        <v>66952</v>
      </c>
      <c r="G19" s="50">
        <v>74000</v>
      </c>
      <c r="H19" s="50">
        <v>80000</v>
      </c>
      <c r="I19" s="50">
        <v>87000</v>
      </c>
    </row>
    <row r="20" spans="1:10" ht="18" customHeight="1" x14ac:dyDescent="0.2">
      <c r="B20" s="30" t="s">
        <v>85</v>
      </c>
      <c r="C20" s="31">
        <v>25977</v>
      </c>
      <c r="D20" s="31">
        <v>24257</v>
      </c>
      <c r="E20" s="31">
        <v>25052</v>
      </c>
      <c r="F20" s="31">
        <v>25052</v>
      </c>
      <c r="G20" s="51">
        <v>27000</v>
      </c>
      <c r="H20" s="51">
        <v>29000</v>
      </c>
      <c r="I20" s="51">
        <v>31500</v>
      </c>
    </row>
    <row r="21" spans="1:10" ht="18" customHeight="1" x14ac:dyDescent="0.2">
      <c r="B21" s="27" t="s">
        <v>86</v>
      </c>
      <c r="C21" s="28">
        <v>33250</v>
      </c>
      <c r="D21" s="28">
        <v>29615</v>
      </c>
      <c r="E21" s="28">
        <v>30714</v>
      </c>
      <c r="F21" s="28">
        <v>30714</v>
      </c>
      <c r="G21" s="50">
        <v>34000</v>
      </c>
      <c r="H21" s="50">
        <v>37000</v>
      </c>
      <c r="I21" s="50">
        <v>40000</v>
      </c>
    </row>
    <row r="22" spans="1:10" ht="18" customHeight="1" x14ac:dyDescent="0.2">
      <c r="B22" s="33" t="s">
        <v>87</v>
      </c>
      <c r="C22" s="34">
        <v>394328</v>
      </c>
      <c r="D22" s="34">
        <v>383285</v>
      </c>
      <c r="E22" s="34">
        <v>391091</v>
      </c>
      <c r="F22" s="34">
        <v>397891</v>
      </c>
      <c r="G22" s="52">
        <v>458000</v>
      </c>
      <c r="H22" s="52">
        <v>496000</v>
      </c>
      <c r="I22" s="52">
        <v>536000</v>
      </c>
    </row>
    <row r="23" spans="1:10" ht="18" customHeight="1" x14ac:dyDescent="0.2">
      <c r="A23" s="25"/>
      <c r="B23" s="26" t="s">
        <v>88</v>
      </c>
      <c r="C23" s="25"/>
      <c r="D23" s="25"/>
      <c r="E23" s="25"/>
      <c r="F23" s="25"/>
      <c r="G23" s="25"/>
      <c r="H23" s="25"/>
      <c r="I23" s="25"/>
      <c r="J23" s="25"/>
    </row>
    <row r="24" spans="1:10" ht="18" customHeight="1" x14ac:dyDescent="0.2">
      <c r="B24" s="30" t="s">
        <v>89</v>
      </c>
      <c r="C24" s="55" t="s">
        <v>49</v>
      </c>
      <c r="D24" s="53">
        <f t="shared" ref="D24:I24" si="0">(D7-C7)/C7</f>
        <v>-2.3874757286278098E-2</v>
      </c>
      <c r="E24" s="53">
        <f t="shared" si="0"/>
        <v>2.9912804175827464E-3</v>
      </c>
      <c r="F24" s="53">
        <f t="shared" si="0"/>
        <v>4.1971737174612167E-2</v>
      </c>
      <c r="G24" s="54">
        <f t="shared" si="0"/>
        <v>9.7186908174996547E-2</v>
      </c>
      <c r="H24" s="54">
        <f t="shared" si="0"/>
        <v>8.2608695652173908E-2</v>
      </c>
      <c r="I24" s="54">
        <f t="shared" si="0"/>
        <v>7.6305220883534142E-2</v>
      </c>
    </row>
    <row r="25" spans="1:10" ht="18" customHeight="1" x14ac:dyDescent="0.2">
      <c r="B25" s="27" t="s">
        <v>90</v>
      </c>
      <c r="C25" s="56" t="s">
        <v>49</v>
      </c>
      <c r="D25" s="35">
        <f t="shared" ref="D25:I25" si="1">(D13-C13)/C13</f>
        <v>9.0504166186691243E-2</v>
      </c>
      <c r="E25" s="35">
        <f t="shared" si="1"/>
        <v>0.12874413145539906</v>
      </c>
      <c r="F25" s="35">
        <f t="shared" si="1"/>
        <v>0.135064313864135</v>
      </c>
      <c r="G25" s="57">
        <f t="shared" si="1"/>
        <v>0.12680701368658276</v>
      </c>
      <c r="H25" s="57">
        <f t="shared" si="1"/>
        <v>0.12195121951219512</v>
      </c>
      <c r="I25" s="57">
        <f t="shared" si="1"/>
        <v>0.12318840579710146</v>
      </c>
    </row>
    <row r="26" spans="1:10" ht="18" customHeight="1" x14ac:dyDescent="0.2">
      <c r="B26" s="30" t="s">
        <v>91</v>
      </c>
      <c r="C26" s="55" t="s">
        <v>49</v>
      </c>
      <c r="D26" s="53">
        <f t="shared" ref="D26:I26" si="2">(D15-C15)/C15</f>
        <v>-2.8004605303199367E-2</v>
      </c>
      <c r="E26" s="53">
        <f t="shared" si="2"/>
        <v>2.0219940775141214E-2</v>
      </c>
      <c r="F26" s="53">
        <f t="shared" si="2"/>
        <v>5.4810950426432414E-2</v>
      </c>
      <c r="G26" s="54">
        <f t="shared" si="2"/>
        <v>0.11038916958406471</v>
      </c>
      <c r="H26" s="54">
        <f t="shared" si="2"/>
        <v>8.296943231441048E-2</v>
      </c>
      <c r="I26" s="54">
        <f t="shared" si="2"/>
        <v>8.0645161290322578E-2</v>
      </c>
    </row>
  </sheetData>
  <mergeCells count="2">
    <mergeCell ref="B2:I2"/>
    <mergeCell ref="B3:I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A7517"/>
  </sheetPr>
  <dimension ref="A1:N27"/>
  <sheetViews>
    <sheetView showGridLines="0" zoomScaleNormal="100" workbookViewId="0"/>
  </sheetViews>
  <sheetFormatPr baseColWidth="10" defaultColWidth="8.6640625" defaultRowHeight="15" x14ac:dyDescent="0.2"/>
  <cols>
    <col min="1" max="1" width="3" customWidth="1"/>
    <col min="2" max="2" width="36" customWidth="1"/>
    <col min="3" max="5" width="16" customWidth="1"/>
    <col min="6" max="6" width="4" customWidth="1"/>
    <col min="7" max="9" width="16" customWidth="1"/>
    <col min="10" max="10" width="4" customWidth="1"/>
    <col min="11" max="13" width="16" customWidth="1"/>
    <col min="14" max="14" width="5" customWidth="1"/>
  </cols>
  <sheetData>
    <row r="1" spans="1:14" ht="6" customHeight="1" x14ac:dyDescent="0.2">
      <c r="A1" s="15"/>
      <c r="B1" s="15"/>
      <c r="C1" s="15"/>
      <c r="D1" s="15"/>
      <c r="E1" s="15"/>
      <c r="F1" s="15"/>
      <c r="G1" s="15"/>
      <c r="H1" s="15"/>
      <c r="I1" s="15"/>
      <c r="J1" s="15"/>
      <c r="K1" s="15"/>
      <c r="L1" s="15"/>
      <c r="M1" s="15"/>
      <c r="N1" s="15"/>
    </row>
    <row r="2" spans="1:14" ht="25.5" customHeight="1" x14ac:dyDescent="0.2">
      <c r="B2" s="6" t="s">
        <v>92</v>
      </c>
      <c r="C2" s="6"/>
      <c r="D2" s="6"/>
      <c r="E2" s="6"/>
      <c r="F2" s="6"/>
      <c r="G2" s="6"/>
      <c r="H2" s="6"/>
      <c r="I2" s="6"/>
      <c r="J2" s="6"/>
      <c r="K2" s="6"/>
      <c r="L2" s="6"/>
      <c r="M2" s="6"/>
    </row>
    <row r="3" spans="1:14" ht="15.75" customHeight="1" x14ac:dyDescent="0.2">
      <c r="B3" s="5" t="s">
        <v>93</v>
      </c>
      <c r="C3" s="5"/>
      <c r="D3" s="5"/>
      <c r="E3" s="5"/>
      <c r="F3" s="5"/>
      <c r="G3" s="5"/>
      <c r="H3" s="5"/>
      <c r="I3" s="5"/>
      <c r="J3" s="5"/>
      <c r="K3" s="5"/>
      <c r="L3" s="5"/>
      <c r="M3" s="5"/>
    </row>
    <row r="4" spans="1:14" ht="3" customHeight="1" x14ac:dyDescent="0.2">
      <c r="A4" s="16"/>
      <c r="B4" s="16"/>
      <c r="C4" s="16"/>
      <c r="D4" s="16"/>
      <c r="E4" s="16"/>
      <c r="F4" s="16"/>
      <c r="G4" s="16"/>
      <c r="H4" s="16"/>
      <c r="I4" s="16"/>
      <c r="J4" s="16"/>
      <c r="K4" s="16"/>
      <c r="L4" s="16"/>
      <c r="M4" s="16"/>
      <c r="N4" s="16"/>
    </row>
    <row r="5" spans="1:14" ht="21.75" customHeight="1" x14ac:dyDescent="0.2">
      <c r="A5" s="58"/>
      <c r="B5" s="4" t="s">
        <v>94</v>
      </c>
      <c r="C5" s="3" t="s">
        <v>95</v>
      </c>
      <c r="D5" s="3"/>
      <c r="E5" s="3"/>
      <c r="F5" s="58"/>
      <c r="G5" s="2" t="s">
        <v>96</v>
      </c>
      <c r="H5" s="2"/>
      <c r="I5" s="2"/>
      <c r="J5" s="58"/>
      <c r="K5" s="1" t="s">
        <v>97</v>
      </c>
      <c r="L5" s="1"/>
      <c r="M5" s="1"/>
      <c r="N5" s="58"/>
    </row>
    <row r="6" spans="1:14" ht="19.5" customHeight="1" x14ac:dyDescent="0.2">
      <c r="A6" s="58"/>
      <c r="B6" s="4"/>
      <c r="C6" s="59" t="s">
        <v>38</v>
      </c>
      <c r="D6" s="59" t="s">
        <v>39</v>
      </c>
      <c r="E6" s="59" t="s">
        <v>40</v>
      </c>
      <c r="F6" s="58"/>
      <c r="G6" s="60" t="s">
        <v>38</v>
      </c>
      <c r="H6" s="60" t="s">
        <v>39</v>
      </c>
      <c r="I6" s="60" t="s">
        <v>40</v>
      </c>
      <c r="J6" s="58"/>
      <c r="K6" s="61" t="s">
        <v>38</v>
      </c>
      <c r="L6" s="61" t="s">
        <v>39</v>
      </c>
      <c r="M6" s="61" t="s">
        <v>40</v>
      </c>
      <c r="N6" s="58"/>
    </row>
    <row r="7" spans="1:14" ht="18" customHeight="1" x14ac:dyDescent="0.2">
      <c r="B7" s="33" t="s">
        <v>98</v>
      </c>
      <c r="C7" s="34">
        <v>458000</v>
      </c>
      <c r="D7" s="34">
        <v>496000</v>
      </c>
      <c r="E7" s="34">
        <v>536000</v>
      </c>
      <c r="F7" s="25"/>
      <c r="G7" s="34">
        <v>490000</v>
      </c>
      <c r="H7" s="34">
        <v>560000</v>
      </c>
      <c r="I7" s="34">
        <v>635000</v>
      </c>
      <c r="J7" s="25"/>
      <c r="K7" s="34">
        <v>420000</v>
      </c>
      <c r="L7" s="34">
        <v>440000</v>
      </c>
      <c r="M7" s="34">
        <v>460000</v>
      </c>
    </row>
    <row r="8" spans="1:14" ht="18" customHeight="1" x14ac:dyDescent="0.2">
      <c r="B8" s="30" t="s">
        <v>99</v>
      </c>
      <c r="C8" s="62">
        <f>(C7-416468)/416468</f>
        <v>9.9724348569397894E-2</v>
      </c>
      <c r="D8" s="62">
        <f>(D7-C7)/C7</f>
        <v>8.296943231441048E-2</v>
      </c>
      <c r="E8" s="62">
        <f>(E7-D7)/D7</f>
        <v>8.0645161290322578E-2</v>
      </c>
      <c r="F8" s="25"/>
      <c r="G8" s="63">
        <f>(G7-416468)/416468</f>
        <v>0.17656098427730341</v>
      </c>
      <c r="H8" s="63">
        <f>(H7-G7)/G7</f>
        <v>0.14285714285714285</v>
      </c>
      <c r="I8" s="63">
        <f>(I7-H7)/H7</f>
        <v>0.13392857142857142</v>
      </c>
      <c r="J8" s="25"/>
      <c r="K8" s="64">
        <f>(K7-416468)/416468</f>
        <v>8.4808436662600732E-3</v>
      </c>
      <c r="L8" s="64">
        <f>(L7-K7)/K7</f>
        <v>4.7619047619047616E-2</v>
      </c>
      <c r="M8" s="64">
        <f>(M7-L7)/L7</f>
        <v>4.5454545454545456E-2</v>
      </c>
    </row>
    <row r="9" spans="1:14" ht="18" customHeight="1" x14ac:dyDescent="0.2">
      <c r="B9" s="33" t="s">
        <v>54</v>
      </c>
      <c r="C9" s="34">
        <v>213000</v>
      </c>
      <c r="D9" s="34">
        <v>232000</v>
      </c>
      <c r="E9" s="34">
        <v>252000</v>
      </c>
      <c r="F9" s="25"/>
      <c r="G9" s="34">
        <v>235000</v>
      </c>
      <c r="H9" s="34">
        <v>274000</v>
      </c>
      <c r="I9" s="34">
        <v>318000</v>
      </c>
      <c r="J9" s="25"/>
      <c r="K9" s="34">
        <v>184800</v>
      </c>
      <c r="L9" s="34">
        <v>190400</v>
      </c>
      <c r="M9" s="34">
        <v>197800</v>
      </c>
    </row>
    <row r="10" spans="1:14" ht="18" customHeight="1" x14ac:dyDescent="0.2">
      <c r="B10" s="30" t="s">
        <v>55</v>
      </c>
      <c r="C10" s="62">
        <v>0.46500000000000002</v>
      </c>
      <c r="D10" s="62">
        <v>0.46700000000000003</v>
      </c>
      <c r="E10" s="62">
        <v>0.47</v>
      </c>
      <c r="F10" s="25"/>
      <c r="G10" s="63">
        <v>0.48</v>
      </c>
      <c r="H10" s="63">
        <v>0.48899999999999999</v>
      </c>
      <c r="I10" s="63">
        <v>0.501</v>
      </c>
      <c r="J10" s="25"/>
      <c r="K10" s="64">
        <v>0.44</v>
      </c>
      <c r="L10" s="64">
        <v>0.433</v>
      </c>
      <c r="M10" s="64">
        <v>0.43</v>
      </c>
    </row>
    <row r="11" spans="1:14" ht="18" customHeight="1" x14ac:dyDescent="0.2">
      <c r="B11" s="33" t="s">
        <v>100</v>
      </c>
      <c r="C11" s="34">
        <v>155000</v>
      </c>
      <c r="D11" s="34">
        <v>170000</v>
      </c>
      <c r="E11" s="34">
        <v>185000</v>
      </c>
      <c r="F11" s="25"/>
      <c r="G11" s="34">
        <v>173000</v>
      </c>
      <c r="H11" s="34">
        <v>203000</v>
      </c>
      <c r="I11" s="34">
        <v>237000</v>
      </c>
      <c r="J11" s="25"/>
      <c r="K11" s="34">
        <v>126000</v>
      </c>
      <c r="L11" s="34">
        <v>131000</v>
      </c>
      <c r="M11" s="34">
        <v>137000</v>
      </c>
    </row>
    <row r="12" spans="1:14" ht="18" customHeight="1" x14ac:dyDescent="0.2">
      <c r="B12" s="30" t="s">
        <v>62</v>
      </c>
      <c r="C12" s="62">
        <v>0.33800000000000002</v>
      </c>
      <c r="D12" s="62">
        <v>0.34300000000000003</v>
      </c>
      <c r="E12" s="62">
        <v>0.34499999999999997</v>
      </c>
      <c r="F12" s="25"/>
      <c r="G12" s="63">
        <v>0.35299999999999998</v>
      </c>
      <c r="H12" s="63">
        <v>0.36299999999999999</v>
      </c>
      <c r="I12" s="63">
        <v>0.373</v>
      </c>
      <c r="J12" s="25"/>
      <c r="K12" s="64">
        <v>0.3</v>
      </c>
      <c r="L12" s="64">
        <v>0.29799999999999999</v>
      </c>
      <c r="M12" s="64">
        <v>0.29799999999999999</v>
      </c>
    </row>
    <row r="13" spans="1:14" ht="18" customHeight="1" x14ac:dyDescent="0.2">
      <c r="B13" s="33" t="s">
        <v>66</v>
      </c>
      <c r="C13" s="34">
        <v>132000</v>
      </c>
      <c r="D13" s="34">
        <v>145000</v>
      </c>
      <c r="E13" s="34">
        <v>158000</v>
      </c>
      <c r="F13" s="25"/>
      <c r="G13" s="34">
        <v>148000</v>
      </c>
      <c r="H13" s="34">
        <v>174000</v>
      </c>
      <c r="I13" s="34">
        <v>202000</v>
      </c>
      <c r="J13" s="25"/>
      <c r="K13" s="34">
        <v>107000</v>
      </c>
      <c r="L13" s="34">
        <v>112000</v>
      </c>
      <c r="M13" s="34">
        <v>117000</v>
      </c>
    </row>
    <row r="14" spans="1:14" ht="18" customHeight="1" x14ac:dyDescent="0.2">
      <c r="B14" s="30" t="s">
        <v>67</v>
      </c>
      <c r="C14" s="62">
        <v>0.28799999999999998</v>
      </c>
      <c r="D14" s="62">
        <v>0.29199999999999998</v>
      </c>
      <c r="E14" s="62">
        <v>0.29499999999999998</v>
      </c>
      <c r="F14" s="25"/>
      <c r="G14" s="63">
        <v>0.30199999999999999</v>
      </c>
      <c r="H14" s="63">
        <v>0.311</v>
      </c>
      <c r="I14" s="63">
        <v>0.318</v>
      </c>
      <c r="J14" s="25"/>
      <c r="K14" s="64">
        <v>0.255</v>
      </c>
      <c r="L14" s="64">
        <v>0.255</v>
      </c>
      <c r="M14" s="64">
        <v>0.254</v>
      </c>
    </row>
    <row r="15" spans="1:14" ht="18" customHeight="1" x14ac:dyDescent="0.2">
      <c r="B15" s="33" t="s">
        <v>70</v>
      </c>
      <c r="C15" s="65">
        <v>8.8000000000000007</v>
      </c>
      <c r="D15" s="65">
        <v>9.8000000000000007</v>
      </c>
      <c r="E15" s="65">
        <v>11</v>
      </c>
      <c r="F15" s="25"/>
      <c r="G15" s="65">
        <v>10.199999999999999</v>
      </c>
      <c r="H15" s="65">
        <v>12.4</v>
      </c>
      <c r="I15" s="65">
        <v>15.2</v>
      </c>
      <c r="J15" s="25"/>
      <c r="K15" s="65">
        <v>7.6</v>
      </c>
      <c r="L15" s="65">
        <v>8</v>
      </c>
      <c r="M15" s="65">
        <v>8.6</v>
      </c>
    </row>
    <row r="16" spans="1:14" ht="18" customHeight="1" x14ac:dyDescent="0.2">
      <c r="B16" s="30" t="s">
        <v>101</v>
      </c>
      <c r="C16" s="62">
        <f>(C15-7.46)/7.46</f>
        <v>0.17962466487935666</v>
      </c>
      <c r="D16" s="62">
        <f>(D15-C15)/C15</f>
        <v>0.11363636363636363</v>
      </c>
      <c r="E16" s="62">
        <f>(E15-D15)/D15</f>
        <v>0.12244897959183665</v>
      </c>
      <c r="F16" s="25"/>
      <c r="G16" s="63">
        <f>(G15-7.46)/7.46</f>
        <v>0.3672922252010723</v>
      </c>
      <c r="H16" s="63">
        <f>(H15-G15)/G15</f>
        <v>0.21568627450980404</v>
      </c>
      <c r="I16" s="63">
        <f>(I15-H15)/H15</f>
        <v>0.22580645161290314</v>
      </c>
      <c r="J16" s="25"/>
      <c r="K16" s="64">
        <f>(K15-7.46)/7.46</f>
        <v>1.8766756032171539E-2</v>
      </c>
      <c r="L16" s="64">
        <f>(L15-K15)/K15</f>
        <v>5.2631578947368474E-2</v>
      </c>
      <c r="M16" s="64">
        <f>(M15-L15)/L15</f>
        <v>7.4999999999999956E-2</v>
      </c>
    </row>
    <row r="17" spans="2:13" ht="18" customHeight="1" x14ac:dyDescent="0.2">
      <c r="B17" s="27" t="s">
        <v>102</v>
      </c>
      <c r="C17" s="38">
        <v>123000</v>
      </c>
      <c r="D17" s="38">
        <v>138000</v>
      </c>
      <c r="E17" s="38">
        <v>155000</v>
      </c>
      <c r="F17" s="25"/>
      <c r="G17" s="38">
        <v>135000</v>
      </c>
      <c r="H17" s="38">
        <v>157000</v>
      </c>
      <c r="I17" s="38">
        <v>183000</v>
      </c>
      <c r="J17" s="25"/>
      <c r="K17" s="38">
        <v>112000</v>
      </c>
      <c r="L17" s="38">
        <v>119000</v>
      </c>
      <c r="M17" s="38">
        <v>126000</v>
      </c>
    </row>
    <row r="18" spans="2:13" ht="18" customHeight="1" x14ac:dyDescent="0.2">
      <c r="B18" s="30" t="s">
        <v>103</v>
      </c>
      <c r="C18" s="62">
        <f>C17/C7</f>
        <v>0.26855895196506552</v>
      </c>
      <c r="D18" s="62">
        <f>D17/D7</f>
        <v>0.27822580645161288</v>
      </c>
      <c r="E18" s="62">
        <f>E17/E7</f>
        <v>0.28917910447761191</v>
      </c>
      <c r="F18" s="25"/>
      <c r="G18" s="63">
        <f>G17/G7</f>
        <v>0.27551020408163263</v>
      </c>
      <c r="H18" s="63">
        <f>H17/H7</f>
        <v>0.28035714285714286</v>
      </c>
      <c r="I18" s="63">
        <f>I17/I7</f>
        <v>0.28818897637795277</v>
      </c>
      <c r="J18" s="25"/>
      <c r="K18" s="64">
        <f>K17/K7</f>
        <v>0.26666666666666666</v>
      </c>
      <c r="L18" s="64">
        <f>L17/L7</f>
        <v>0.27045454545454545</v>
      </c>
      <c r="M18" s="64">
        <f>M17/M7</f>
        <v>0.27391304347826084</v>
      </c>
    </row>
    <row r="19" spans="2:13" ht="18" customHeight="1" x14ac:dyDescent="0.2">
      <c r="B19" s="33" t="s">
        <v>104</v>
      </c>
      <c r="C19" s="34">
        <v>125000</v>
      </c>
      <c r="D19" s="34">
        <v>138000</v>
      </c>
      <c r="E19" s="34">
        <v>151000</v>
      </c>
      <c r="F19" s="25"/>
      <c r="G19" s="34">
        <v>140000</v>
      </c>
      <c r="H19" s="34">
        <v>163000</v>
      </c>
      <c r="I19" s="34">
        <v>191000</v>
      </c>
      <c r="J19" s="25"/>
      <c r="K19" s="34">
        <v>100000</v>
      </c>
      <c r="L19" s="34">
        <v>106000</v>
      </c>
      <c r="M19" s="34">
        <v>112000</v>
      </c>
    </row>
    <row r="20" spans="2:13" ht="18" customHeight="1" x14ac:dyDescent="0.2">
      <c r="B20" s="30" t="s">
        <v>105</v>
      </c>
      <c r="C20" s="62">
        <f>C19/C7</f>
        <v>0.27292576419213976</v>
      </c>
      <c r="D20" s="62">
        <f>D19/D7</f>
        <v>0.27822580645161288</v>
      </c>
      <c r="E20" s="62">
        <f>E19/E7</f>
        <v>0.28171641791044777</v>
      </c>
      <c r="F20" s="25"/>
      <c r="G20" s="63">
        <f>G19/G7</f>
        <v>0.2857142857142857</v>
      </c>
      <c r="H20" s="63">
        <f>H19/H7</f>
        <v>0.29107142857142859</v>
      </c>
      <c r="I20" s="63">
        <f>I19/I7</f>
        <v>0.30078740157480316</v>
      </c>
      <c r="J20" s="25"/>
      <c r="K20" s="64">
        <f>K19/K7</f>
        <v>0.23809523809523808</v>
      </c>
      <c r="L20" s="64">
        <f>L19/L7</f>
        <v>0.24090909090909091</v>
      </c>
      <c r="M20" s="64">
        <f>M19/M7</f>
        <v>0.24347826086956523</v>
      </c>
    </row>
    <row r="21" spans="2:13" ht="18" customHeight="1" x14ac:dyDescent="0.2">
      <c r="B21" s="27" t="s">
        <v>106</v>
      </c>
      <c r="C21" s="38">
        <v>95000</v>
      </c>
      <c r="D21" s="38">
        <v>100000</v>
      </c>
      <c r="E21" s="38">
        <v>105000</v>
      </c>
      <c r="F21" s="25"/>
      <c r="G21" s="38">
        <v>95000</v>
      </c>
      <c r="H21" s="38">
        <v>105000</v>
      </c>
      <c r="I21" s="38">
        <v>115000</v>
      </c>
      <c r="J21" s="25"/>
      <c r="K21" s="38">
        <v>80000</v>
      </c>
      <c r="L21" s="38">
        <v>82000</v>
      </c>
      <c r="M21" s="38">
        <v>85000</v>
      </c>
    </row>
    <row r="22" spans="2:13" ht="18" customHeight="1" x14ac:dyDescent="0.2">
      <c r="B22" s="30" t="s">
        <v>107</v>
      </c>
      <c r="C22" s="66">
        <v>15500</v>
      </c>
      <c r="D22" s="66">
        <v>16800</v>
      </c>
      <c r="E22" s="66">
        <v>18000</v>
      </c>
      <c r="F22" s="25"/>
      <c r="G22" s="67">
        <v>15500</v>
      </c>
      <c r="H22" s="67">
        <v>17000</v>
      </c>
      <c r="I22" s="67">
        <v>18500</v>
      </c>
      <c r="J22" s="25"/>
      <c r="K22" s="68">
        <v>15000</v>
      </c>
      <c r="L22" s="68">
        <v>15200</v>
      </c>
      <c r="M22" s="68">
        <v>15500</v>
      </c>
    </row>
    <row r="24" spans="2:13" ht="19.5" customHeight="1" x14ac:dyDescent="0.2">
      <c r="B24" s="4" t="s">
        <v>108</v>
      </c>
      <c r="C24" s="4"/>
      <c r="D24" s="4"/>
      <c r="E24" s="4"/>
      <c r="F24" s="4"/>
      <c r="G24" s="4"/>
      <c r="H24" s="4"/>
      <c r="I24" s="4"/>
      <c r="J24" s="4"/>
      <c r="K24" s="4"/>
      <c r="L24" s="4"/>
      <c r="M24" s="4"/>
    </row>
    <row r="25" spans="2:13" ht="42" customHeight="1" x14ac:dyDescent="0.2">
      <c r="B25" s="69" t="s">
        <v>109</v>
      </c>
      <c r="C25" s="118" t="s">
        <v>110</v>
      </c>
      <c r="D25" s="118"/>
      <c r="E25" s="118"/>
      <c r="F25" s="118"/>
      <c r="G25" s="118"/>
      <c r="H25" s="118"/>
      <c r="I25" s="118"/>
      <c r="J25" s="118"/>
      <c r="K25" s="118"/>
      <c r="L25" s="118"/>
      <c r="M25" s="118"/>
    </row>
    <row r="26" spans="2:13" ht="42" customHeight="1" x14ac:dyDescent="0.2">
      <c r="B26" s="69" t="s">
        <v>111</v>
      </c>
      <c r="C26" s="119" t="s">
        <v>112</v>
      </c>
      <c r="D26" s="119"/>
      <c r="E26" s="119"/>
      <c r="F26" s="119"/>
      <c r="G26" s="119"/>
      <c r="H26" s="119"/>
      <c r="I26" s="119"/>
      <c r="J26" s="119"/>
      <c r="K26" s="119"/>
      <c r="L26" s="119"/>
      <c r="M26" s="119"/>
    </row>
    <row r="27" spans="2:13" ht="42" customHeight="1" x14ac:dyDescent="0.2">
      <c r="B27" s="69" t="s">
        <v>113</v>
      </c>
      <c r="C27" s="118" t="s">
        <v>114</v>
      </c>
      <c r="D27" s="118"/>
      <c r="E27" s="118"/>
      <c r="F27" s="118"/>
      <c r="G27" s="118"/>
      <c r="H27" s="118"/>
      <c r="I27" s="118"/>
      <c r="J27" s="118"/>
      <c r="K27" s="118"/>
      <c r="L27" s="118"/>
      <c r="M27" s="118"/>
    </row>
  </sheetData>
  <mergeCells count="10">
    <mergeCell ref="B24:M24"/>
    <mergeCell ref="C25:M25"/>
    <mergeCell ref="C26:M26"/>
    <mergeCell ref="C27:M27"/>
    <mergeCell ref="B2:M2"/>
    <mergeCell ref="B3:M3"/>
    <mergeCell ref="B5:B6"/>
    <mergeCell ref="C5:E5"/>
    <mergeCell ref="G5:I5"/>
    <mergeCell ref="K5:M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3366"/>
  </sheetPr>
  <dimension ref="A1:H46"/>
  <sheetViews>
    <sheetView showGridLines="0" topLeftCell="A15" zoomScaleNormal="100" workbookViewId="0">
      <selection activeCell="D6" sqref="D6"/>
    </sheetView>
  </sheetViews>
  <sheetFormatPr baseColWidth="10" defaultColWidth="8.6640625" defaultRowHeight="15" x14ac:dyDescent="0.2"/>
  <cols>
    <col min="1" max="1" width="3" customWidth="1"/>
    <col min="2" max="2" width="34" customWidth="1"/>
    <col min="3" max="7" width="16" customWidth="1"/>
    <col min="8" max="8" width="5" customWidth="1"/>
  </cols>
  <sheetData>
    <row r="1" spans="1:8" ht="6" customHeight="1" x14ac:dyDescent="0.2">
      <c r="A1" s="15"/>
      <c r="B1" s="15"/>
      <c r="C1" s="15"/>
      <c r="D1" s="15"/>
      <c r="E1" s="15"/>
      <c r="F1" s="15"/>
      <c r="G1" s="15"/>
      <c r="H1" s="15"/>
    </row>
    <row r="2" spans="1:8" ht="25.5" customHeight="1" x14ac:dyDescent="0.2">
      <c r="B2" s="6" t="s">
        <v>115</v>
      </c>
      <c r="C2" s="6"/>
      <c r="D2" s="6"/>
      <c r="E2" s="6"/>
      <c r="F2" s="6"/>
      <c r="G2" s="6"/>
    </row>
    <row r="3" spans="1:8" ht="15.75" customHeight="1" x14ac:dyDescent="0.2">
      <c r="B3" s="5" t="s">
        <v>116</v>
      </c>
      <c r="C3" s="5"/>
      <c r="D3" s="5"/>
      <c r="E3" s="5"/>
      <c r="F3" s="5"/>
      <c r="G3" s="5"/>
    </row>
    <row r="4" spans="1:8" ht="3" customHeight="1" x14ac:dyDescent="0.2">
      <c r="A4" s="16"/>
      <c r="B4" s="16"/>
      <c r="C4" s="16"/>
      <c r="D4" s="16"/>
      <c r="E4" s="16"/>
      <c r="F4" s="16"/>
      <c r="G4" s="16"/>
      <c r="H4" s="16"/>
    </row>
    <row r="5" spans="1:8" ht="19.5" customHeight="1" x14ac:dyDescent="0.2">
      <c r="B5" s="4" t="s">
        <v>117</v>
      </c>
      <c r="C5" s="4"/>
      <c r="D5" s="4"/>
      <c r="E5" s="4"/>
      <c r="F5" s="4"/>
      <c r="G5" s="4"/>
    </row>
    <row r="6" spans="1:8" ht="18" customHeight="1" x14ac:dyDescent="0.2">
      <c r="B6" s="30" t="s">
        <v>118</v>
      </c>
      <c r="C6" s="72">
        <v>4.2999999999999997E-2</v>
      </c>
    </row>
    <row r="7" spans="1:8" ht="18" customHeight="1" x14ac:dyDescent="0.2">
      <c r="B7" s="27" t="s">
        <v>119</v>
      </c>
      <c r="C7" s="73">
        <v>5.5E-2</v>
      </c>
    </row>
    <row r="8" spans="1:8" ht="18" customHeight="1" x14ac:dyDescent="0.2">
      <c r="B8" s="30" t="s">
        <v>120</v>
      </c>
      <c r="C8" s="74">
        <v>1.24</v>
      </c>
    </row>
    <row r="9" spans="1:8" ht="18" customHeight="1" x14ac:dyDescent="0.2">
      <c r="B9" s="27" t="s">
        <v>121</v>
      </c>
      <c r="C9" s="75">
        <f>C6+(C8*C7)</f>
        <v>0.11119999999999999</v>
      </c>
    </row>
    <row r="10" spans="1:8" ht="18" customHeight="1" x14ac:dyDescent="0.2">
      <c r="B10" s="30" t="s">
        <v>122</v>
      </c>
      <c r="C10" s="72">
        <v>2.8000000000000001E-2</v>
      </c>
    </row>
    <row r="11" spans="1:8" ht="18" customHeight="1" x14ac:dyDescent="0.2">
      <c r="B11" s="27" t="s">
        <v>123</v>
      </c>
      <c r="C11" s="73">
        <v>0.14799999999999999</v>
      </c>
    </row>
    <row r="12" spans="1:8" ht="18" customHeight="1" x14ac:dyDescent="0.2">
      <c r="B12" s="30" t="s">
        <v>124</v>
      </c>
      <c r="C12" s="76">
        <f>C10*(1-C11)</f>
        <v>2.3855999999999999E-2</v>
      </c>
    </row>
    <row r="13" spans="1:8" ht="18" customHeight="1" x14ac:dyDescent="0.2">
      <c r="B13" s="27" t="s">
        <v>125</v>
      </c>
      <c r="C13" s="73">
        <v>0.97499999999999998</v>
      </c>
    </row>
    <row r="14" spans="1:8" ht="18" customHeight="1" x14ac:dyDescent="0.2">
      <c r="B14" s="30" t="s">
        <v>126</v>
      </c>
      <c r="C14" s="72">
        <v>2.5000000000000001E-2</v>
      </c>
    </row>
    <row r="15" spans="1:8" ht="18" customHeight="1" x14ac:dyDescent="0.2">
      <c r="B15" s="27" t="s">
        <v>127</v>
      </c>
      <c r="C15" s="77">
        <f>C9*C13+(C12*C14)</f>
        <v>0.10901639999999999</v>
      </c>
    </row>
    <row r="16" spans="1:8" ht="18" customHeight="1" x14ac:dyDescent="0.2">
      <c r="B16" s="30" t="s">
        <v>128</v>
      </c>
      <c r="C16" s="72">
        <v>3.5000000000000003E-2</v>
      </c>
    </row>
    <row r="17" spans="2:7" ht="18" customHeight="1" x14ac:dyDescent="0.2">
      <c r="B17" s="27" t="s">
        <v>129</v>
      </c>
      <c r="C17" s="78" t="s">
        <v>38</v>
      </c>
    </row>
    <row r="19" spans="2:7" ht="19.5" customHeight="1" x14ac:dyDescent="0.2">
      <c r="B19" s="4" t="s">
        <v>130</v>
      </c>
      <c r="C19" s="4"/>
      <c r="D19" s="4"/>
      <c r="E19" s="4"/>
      <c r="F19" s="4"/>
      <c r="G19" s="4"/>
    </row>
    <row r="20" spans="2:7" ht="19.5" customHeight="1" x14ac:dyDescent="0.2">
      <c r="B20" s="22" t="s">
        <v>94</v>
      </c>
      <c r="C20" s="49" t="s">
        <v>38</v>
      </c>
      <c r="D20" s="49" t="s">
        <v>39</v>
      </c>
      <c r="E20" s="49" t="s">
        <v>40</v>
      </c>
      <c r="F20" s="49" t="s">
        <v>131</v>
      </c>
      <c r="G20" s="49" t="s">
        <v>132</v>
      </c>
    </row>
    <row r="21" spans="2:7" ht="18" customHeight="1" x14ac:dyDescent="0.2">
      <c r="B21" s="79" t="s">
        <v>133</v>
      </c>
      <c r="C21" s="80">
        <v>458000</v>
      </c>
      <c r="D21" s="80">
        <v>496000</v>
      </c>
      <c r="E21" s="80">
        <v>536000</v>
      </c>
      <c r="F21" s="80">
        <v>576000</v>
      </c>
      <c r="G21" s="80">
        <v>617000</v>
      </c>
    </row>
    <row r="22" spans="2:7" ht="18" customHeight="1" x14ac:dyDescent="0.2">
      <c r="B22" s="81" t="s">
        <v>134</v>
      </c>
      <c r="C22" s="82">
        <v>-247320</v>
      </c>
      <c r="D22" s="82">
        <v>-267168</v>
      </c>
      <c r="E22" s="82">
        <v>-286560</v>
      </c>
      <c r="F22" s="82">
        <v>-305280</v>
      </c>
      <c r="G22" s="82">
        <v>-323415</v>
      </c>
    </row>
    <row r="23" spans="2:7" ht="18" customHeight="1" x14ac:dyDescent="0.2">
      <c r="B23" s="83" t="s">
        <v>135</v>
      </c>
      <c r="C23" s="34">
        <v>210680</v>
      </c>
      <c r="D23" s="34">
        <v>228832</v>
      </c>
      <c r="E23" s="34">
        <v>249440</v>
      </c>
      <c r="F23" s="34">
        <v>270720</v>
      </c>
      <c r="G23" s="34">
        <v>293585</v>
      </c>
    </row>
    <row r="24" spans="2:7" ht="18" customHeight="1" x14ac:dyDescent="0.2">
      <c r="B24" s="81" t="s">
        <v>136</v>
      </c>
      <c r="C24" s="82">
        <v>-61500</v>
      </c>
      <c r="D24" s="82">
        <v>-65000</v>
      </c>
      <c r="E24" s="82">
        <v>-69000</v>
      </c>
      <c r="F24" s="82">
        <v>-73000</v>
      </c>
      <c r="G24" s="82">
        <v>-77000</v>
      </c>
    </row>
    <row r="25" spans="2:7" ht="18" customHeight="1" x14ac:dyDescent="0.2">
      <c r="B25" s="83" t="s">
        <v>137</v>
      </c>
      <c r="C25" s="34">
        <v>149180</v>
      </c>
      <c r="D25" s="34">
        <v>163832</v>
      </c>
      <c r="E25" s="34">
        <v>180440</v>
      </c>
      <c r="F25" s="34">
        <v>197720</v>
      </c>
      <c r="G25" s="34">
        <v>216585</v>
      </c>
    </row>
    <row r="26" spans="2:7" ht="18" customHeight="1" x14ac:dyDescent="0.2">
      <c r="B26" s="81" t="s">
        <v>138</v>
      </c>
      <c r="C26" s="32">
        <f>-C25*C13</f>
        <v>-145450.5</v>
      </c>
      <c r="D26" s="32">
        <f>-D25*C13</f>
        <v>-159736.19999999998</v>
      </c>
      <c r="E26" s="32">
        <f>-E25*C13</f>
        <v>-175929</v>
      </c>
      <c r="F26" s="32">
        <f>-F25*C13</f>
        <v>-192777</v>
      </c>
      <c r="G26" s="32">
        <f>-G25*C13</f>
        <v>-211170.375</v>
      </c>
    </row>
    <row r="27" spans="2:7" ht="18" customHeight="1" x14ac:dyDescent="0.2">
      <c r="B27" s="83" t="s">
        <v>139</v>
      </c>
      <c r="C27" s="34">
        <f>C25+C26</f>
        <v>3729.5</v>
      </c>
      <c r="D27" s="34">
        <f>D25+D26</f>
        <v>4095.8000000000175</v>
      </c>
      <c r="E27" s="34">
        <f>E25+E26</f>
        <v>4511</v>
      </c>
      <c r="F27" s="34">
        <f>F25+F26</f>
        <v>4943</v>
      </c>
      <c r="G27" s="34">
        <f>G25+G26</f>
        <v>5414.625</v>
      </c>
    </row>
    <row r="28" spans="2:7" ht="18" customHeight="1" x14ac:dyDescent="0.2">
      <c r="B28" s="81" t="s">
        <v>140</v>
      </c>
      <c r="C28" s="82">
        <v>12000</v>
      </c>
      <c r="D28" s="82">
        <v>13000</v>
      </c>
      <c r="E28" s="82">
        <v>14000</v>
      </c>
      <c r="F28" s="82">
        <v>15000</v>
      </c>
      <c r="G28" s="82">
        <v>16000</v>
      </c>
    </row>
    <row r="29" spans="2:7" ht="18" customHeight="1" x14ac:dyDescent="0.2">
      <c r="B29" s="79" t="s">
        <v>141</v>
      </c>
      <c r="C29" s="80">
        <v>-15000</v>
      </c>
      <c r="D29" s="80">
        <v>-17000</v>
      </c>
      <c r="E29" s="80">
        <v>-18000</v>
      </c>
      <c r="F29" s="80">
        <v>-19000</v>
      </c>
      <c r="G29" s="80">
        <v>-20000</v>
      </c>
    </row>
    <row r="30" spans="2:7" ht="18" customHeight="1" x14ac:dyDescent="0.2">
      <c r="B30" s="81" t="s">
        <v>142</v>
      </c>
      <c r="C30" s="82">
        <v>-2000</v>
      </c>
      <c r="D30" s="82">
        <v>-2500</v>
      </c>
      <c r="E30" s="82">
        <v>-3000</v>
      </c>
      <c r="F30" s="82">
        <v>-3500</v>
      </c>
      <c r="G30" s="82">
        <v>-4000</v>
      </c>
    </row>
    <row r="31" spans="2:7" ht="18" customHeight="1" x14ac:dyDescent="0.2">
      <c r="B31" s="83" t="s">
        <v>143</v>
      </c>
      <c r="C31" s="34">
        <f>C27+C28+C29+C30</f>
        <v>-1270.5</v>
      </c>
      <c r="D31" s="34">
        <f>D27+D28+D29+D30</f>
        <v>-2404.1999999999825</v>
      </c>
      <c r="E31" s="34">
        <f>E27+E28+E29+E30</f>
        <v>-2489</v>
      </c>
      <c r="F31" s="34">
        <f>F27+F28+F29+F30</f>
        <v>-2557</v>
      </c>
      <c r="G31" s="34">
        <f>G27+G28+G29+G30</f>
        <v>-2585.375</v>
      </c>
    </row>
    <row r="32" spans="2:7" ht="18" customHeight="1" x14ac:dyDescent="0.2">
      <c r="B32" s="81" t="s">
        <v>144</v>
      </c>
      <c r="C32" s="84">
        <f>1/(1+C15)^1</f>
        <v>0.90169992075861094</v>
      </c>
      <c r="D32" s="84">
        <f>1/(1+C15)^2</f>
        <v>0.81306274709608528</v>
      </c>
      <c r="E32" s="84">
        <f>1/(1+C15)^3</f>
        <v>0.73313861462831853</v>
      </c>
      <c r="F32" s="84">
        <f>1/(1+C15)^4</f>
        <v>0.66107103071543272</v>
      </c>
      <c r="G32" s="84">
        <f>1/(1+C15)^5</f>
        <v>0.59608769601191891</v>
      </c>
    </row>
    <row r="33" spans="2:7" ht="18" customHeight="1" x14ac:dyDescent="0.2">
      <c r="B33" s="79" t="s">
        <v>145</v>
      </c>
      <c r="C33" s="29">
        <f>C31*C32</f>
        <v>-1145.6097493238151</v>
      </c>
      <c r="D33" s="29">
        <f>D31*D32</f>
        <v>-1954.765456568394</v>
      </c>
      <c r="E33" s="29">
        <f>E31*E32</f>
        <v>-1824.7820118098848</v>
      </c>
      <c r="F33" s="29">
        <f>F31*F32</f>
        <v>-1690.3586255393614</v>
      </c>
      <c r="G33" s="29">
        <f>G31*G32</f>
        <v>-1541.1102270768149</v>
      </c>
    </row>
    <row r="35" spans="2:7" ht="19.5" customHeight="1" x14ac:dyDescent="0.2">
      <c r="B35" s="4" t="s">
        <v>146</v>
      </c>
      <c r="C35" s="4"/>
      <c r="D35" s="4"/>
      <c r="E35" s="4"/>
      <c r="F35" s="4"/>
      <c r="G35" s="4"/>
    </row>
    <row r="36" spans="2:7" ht="19.5" customHeight="1" x14ac:dyDescent="0.2">
      <c r="B36" s="30" t="s">
        <v>147</v>
      </c>
      <c r="C36" s="41">
        <f>G31</f>
        <v>-2585.375</v>
      </c>
    </row>
    <row r="37" spans="2:7" ht="19.5" customHeight="1" x14ac:dyDescent="0.2">
      <c r="B37" s="27" t="s">
        <v>148</v>
      </c>
      <c r="C37" s="38">
        <f>G31*(1+C16)/(C15-C16)</f>
        <v>-36152.300368566976</v>
      </c>
    </row>
    <row r="38" spans="2:7" ht="19.5" customHeight="1" x14ac:dyDescent="0.2">
      <c r="B38" s="30" t="s">
        <v>149</v>
      </c>
      <c r="C38" s="41">
        <f>C37/(1+C15)^5</f>
        <v>-21549.941432229934</v>
      </c>
    </row>
    <row r="39" spans="2:7" ht="19.5" customHeight="1" x14ac:dyDescent="0.2">
      <c r="B39" s="27" t="s">
        <v>150</v>
      </c>
      <c r="C39" s="38">
        <f>SUM(C33:G33)</f>
        <v>-8156.6260703182697</v>
      </c>
    </row>
    <row r="40" spans="2:7" ht="19.5" customHeight="1" x14ac:dyDescent="0.2">
      <c r="B40" s="85" t="s">
        <v>151</v>
      </c>
      <c r="C40" s="34">
        <f>C38+C39</f>
        <v>-29706.567502548205</v>
      </c>
    </row>
    <row r="41" spans="2:7" ht="19.5" customHeight="1" x14ac:dyDescent="0.2">
      <c r="B41" s="27" t="s">
        <v>152</v>
      </c>
      <c r="C41" s="28">
        <v>-15000</v>
      </c>
    </row>
    <row r="42" spans="2:7" ht="19.5" customHeight="1" x14ac:dyDescent="0.2">
      <c r="B42" s="85" t="s">
        <v>153</v>
      </c>
      <c r="C42" s="34">
        <f>C40+C41</f>
        <v>-44706.567502548205</v>
      </c>
    </row>
    <row r="43" spans="2:7" ht="19.5" customHeight="1" x14ac:dyDescent="0.2">
      <c r="B43" s="27" t="s">
        <v>154</v>
      </c>
      <c r="C43" s="46">
        <v>14958</v>
      </c>
    </row>
    <row r="44" spans="2:7" ht="19.5" customHeight="1" x14ac:dyDescent="0.2">
      <c r="B44" s="85" t="s">
        <v>155</v>
      </c>
      <c r="C44" s="65">
        <f>C42/C43</f>
        <v>-2.9888064916799175</v>
      </c>
    </row>
    <row r="45" spans="2:7" ht="19.5" customHeight="1" x14ac:dyDescent="0.2">
      <c r="B45" s="27" t="s">
        <v>156</v>
      </c>
      <c r="C45" s="42">
        <v>215</v>
      </c>
    </row>
    <row r="46" spans="2:7" ht="19.5" customHeight="1" x14ac:dyDescent="0.2">
      <c r="B46" s="85" t="s">
        <v>157</v>
      </c>
      <c r="C46" s="86">
        <f>(C44-C45)/C45</f>
        <v>-1.0139014255426972</v>
      </c>
    </row>
  </sheetData>
  <mergeCells count="5">
    <mergeCell ref="B2:G2"/>
    <mergeCell ref="B3:G3"/>
    <mergeCell ref="B5:G5"/>
    <mergeCell ref="B19:G19"/>
    <mergeCell ref="B35:G3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85A30"/>
  </sheetPr>
  <dimension ref="A1:F22"/>
  <sheetViews>
    <sheetView showGridLines="0" zoomScaleNormal="100" workbookViewId="0">
      <selection activeCell="A12" sqref="A12:XFD12"/>
    </sheetView>
  </sheetViews>
  <sheetFormatPr baseColWidth="10" defaultColWidth="8.6640625" defaultRowHeight="15" x14ac:dyDescent="0.2"/>
  <cols>
    <col min="1" max="1" width="3" customWidth="1"/>
    <col min="2" max="2" width="32" customWidth="1"/>
    <col min="3" max="4" width="12" customWidth="1"/>
    <col min="5" max="5" width="28" customWidth="1"/>
    <col min="6" max="6" width="5" customWidth="1"/>
  </cols>
  <sheetData>
    <row r="1" spans="1:6" ht="6" customHeight="1" x14ac:dyDescent="0.2">
      <c r="A1" s="15"/>
      <c r="B1" s="15"/>
      <c r="C1" s="15"/>
      <c r="D1" s="15"/>
      <c r="E1" s="15"/>
      <c r="F1" s="15"/>
    </row>
    <row r="2" spans="1:6" ht="25.5" customHeight="1" x14ac:dyDescent="0.2">
      <c r="B2" s="6" t="s">
        <v>158</v>
      </c>
      <c r="C2" s="6"/>
      <c r="D2" s="6"/>
      <c r="E2" s="6"/>
    </row>
    <row r="3" spans="1:6" ht="15.75" customHeight="1" x14ac:dyDescent="0.2">
      <c r="B3" s="5" t="s">
        <v>159</v>
      </c>
      <c r="C3" s="5"/>
      <c r="D3" s="5"/>
      <c r="E3" s="5"/>
    </row>
    <row r="4" spans="1:6" ht="3" customHeight="1" x14ac:dyDescent="0.2">
      <c r="A4" s="16"/>
      <c r="B4" s="16"/>
      <c r="C4" s="16"/>
      <c r="D4" s="16"/>
      <c r="E4" s="16"/>
      <c r="F4" s="16"/>
    </row>
    <row r="5" spans="1:6" ht="19.5" customHeight="1" x14ac:dyDescent="0.2">
      <c r="B5" s="4" t="s">
        <v>160</v>
      </c>
      <c r="C5" s="4"/>
      <c r="D5" s="4"/>
      <c r="E5" s="4"/>
    </row>
    <row r="6" spans="1:6" ht="19.5" customHeight="1" x14ac:dyDescent="0.2">
      <c r="B6" s="87" t="s">
        <v>161</v>
      </c>
      <c r="C6" s="87" t="s">
        <v>162</v>
      </c>
      <c r="D6" s="87" t="s">
        <v>163</v>
      </c>
      <c r="E6" s="87" t="s">
        <v>164</v>
      </c>
    </row>
    <row r="7" spans="1:6" ht="82" customHeight="1" x14ac:dyDescent="0.2">
      <c r="B7" s="88" t="s">
        <v>165</v>
      </c>
      <c r="C7" s="89">
        <v>9</v>
      </c>
      <c r="D7" s="89">
        <v>8</v>
      </c>
      <c r="E7" s="70" t="s">
        <v>166</v>
      </c>
    </row>
    <row r="8" spans="1:6" ht="78" customHeight="1" x14ac:dyDescent="0.2">
      <c r="B8" s="88" t="s">
        <v>167</v>
      </c>
      <c r="C8" s="89">
        <v>8</v>
      </c>
      <c r="D8" s="89">
        <v>7</v>
      </c>
      <c r="E8" s="71" t="s">
        <v>168</v>
      </c>
    </row>
    <row r="9" spans="1:6" ht="81" customHeight="1" x14ac:dyDescent="0.2">
      <c r="B9" s="90" t="s">
        <v>169</v>
      </c>
      <c r="C9" s="91">
        <v>7</v>
      </c>
      <c r="D9" s="91">
        <v>6</v>
      </c>
      <c r="E9" s="70" t="s">
        <v>170</v>
      </c>
    </row>
    <row r="10" spans="1:6" ht="91" customHeight="1" x14ac:dyDescent="0.2">
      <c r="B10" s="90" t="s">
        <v>171</v>
      </c>
      <c r="C10" s="91">
        <v>6</v>
      </c>
      <c r="D10" s="91">
        <v>5</v>
      </c>
      <c r="E10" s="71" t="s">
        <v>172</v>
      </c>
    </row>
    <row r="11" spans="1:6" ht="74" customHeight="1" x14ac:dyDescent="0.2">
      <c r="B11" s="90" t="s">
        <v>173</v>
      </c>
      <c r="C11" s="91">
        <v>5</v>
      </c>
      <c r="D11" s="91">
        <v>4</v>
      </c>
      <c r="E11" s="70" t="s">
        <v>174</v>
      </c>
    </row>
    <row r="12" spans="1:6" ht="80" customHeight="1" x14ac:dyDescent="0.2">
      <c r="B12" s="90" t="s">
        <v>175</v>
      </c>
      <c r="C12" s="91">
        <v>6</v>
      </c>
      <c r="D12" s="91">
        <v>5</v>
      </c>
      <c r="E12" s="71" t="s">
        <v>176</v>
      </c>
    </row>
    <row r="13" spans="1:6" ht="82" customHeight="1" x14ac:dyDescent="0.2">
      <c r="B13" s="90" t="s">
        <v>177</v>
      </c>
      <c r="C13" s="91">
        <v>5</v>
      </c>
      <c r="D13" s="91">
        <v>7</v>
      </c>
      <c r="E13" s="70" t="s">
        <v>178</v>
      </c>
    </row>
    <row r="14" spans="1:6" ht="91" customHeight="1" x14ac:dyDescent="0.2">
      <c r="B14" s="92" t="s">
        <v>179</v>
      </c>
      <c r="C14" s="93">
        <v>3</v>
      </c>
      <c r="D14" s="93">
        <v>9</v>
      </c>
      <c r="E14" s="71" t="s">
        <v>180</v>
      </c>
    </row>
    <row r="15" spans="1:6" ht="69" customHeight="1" x14ac:dyDescent="0.2">
      <c r="B15" s="92" t="s">
        <v>181</v>
      </c>
      <c r="C15" s="93">
        <v>2</v>
      </c>
      <c r="D15" s="93">
        <v>9</v>
      </c>
      <c r="E15" s="70" t="s">
        <v>182</v>
      </c>
    </row>
    <row r="16" spans="1:6" ht="80" customHeight="1" x14ac:dyDescent="0.2">
      <c r="B16" s="92" t="s">
        <v>183</v>
      </c>
      <c r="C16" s="93">
        <v>2</v>
      </c>
      <c r="D16" s="93">
        <v>9</v>
      </c>
      <c r="E16" s="71" t="s">
        <v>184</v>
      </c>
    </row>
    <row r="17" spans="2:5" ht="105" customHeight="1" x14ac:dyDescent="0.2">
      <c r="B17" s="92" t="s">
        <v>185</v>
      </c>
      <c r="C17" s="93">
        <v>4</v>
      </c>
      <c r="D17" s="93">
        <v>7</v>
      </c>
      <c r="E17" s="70" t="s">
        <v>186</v>
      </c>
    </row>
    <row r="19" spans="2:5" ht="18" customHeight="1" x14ac:dyDescent="0.2">
      <c r="B19" s="120" t="s">
        <v>187</v>
      </c>
      <c r="C19" s="120"/>
      <c r="D19" s="120"/>
      <c r="E19" s="120"/>
    </row>
    <row r="20" spans="2:5" ht="18" customHeight="1" x14ac:dyDescent="0.2">
      <c r="B20" s="121" t="s">
        <v>188</v>
      </c>
      <c r="C20" s="121"/>
      <c r="D20" s="121"/>
      <c r="E20" s="121"/>
    </row>
    <row r="21" spans="2:5" ht="18" customHeight="1" x14ac:dyDescent="0.2">
      <c r="B21" s="122" t="s">
        <v>189</v>
      </c>
      <c r="C21" s="122"/>
      <c r="D21" s="122"/>
      <c r="E21" s="122"/>
    </row>
    <row r="22" spans="2:5" ht="18" customHeight="1" x14ac:dyDescent="0.2">
      <c r="B22" s="123" t="s">
        <v>190</v>
      </c>
      <c r="C22" s="123"/>
      <c r="D22" s="123"/>
      <c r="E22" s="123"/>
    </row>
  </sheetData>
  <mergeCells count="7">
    <mergeCell ref="B21:E21"/>
    <mergeCell ref="B22:E22"/>
    <mergeCell ref="B2:E2"/>
    <mergeCell ref="B3:E3"/>
    <mergeCell ref="B5:E5"/>
    <mergeCell ref="B19:E19"/>
    <mergeCell ref="B20:E20"/>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34AB7"/>
  </sheetPr>
  <dimension ref="A1:G24"/>
  <sheetViews>
    <sheetView showGridLines="0" zoomScaleNormal="100" workbookViewId="0"/>
  </sheetViews>
  <sheetFormatPr baseColWidth="10" defaultColWidth="8.6640625" defaultRowHeight="15" x14ac:dyDescent="0.2"/>
  <cols>
    <col min="1" max="1" width="3" customWidth="1"/>
    <col min="2" max="2" width="24" customWidth="1"/>
    <col min="3" max="5" width="16" customWidth="1"/>
    <col min="6" max="6" width="20" customWidth="1"/>
    <col min="7" max="7" width="5" customWidth="1"/>
  </cols>
  <sheetData>
    <row r="1" spans="1:7" ht="6" customHeight="1" x14ac:dyDescent="0.2">
      <c r="A1" s="15"/>
      <c r="B1" s="15"/>
      <c r="C1" s="15"/>
      <c r="D1" s="15"/>
      <c r="E1" s="15"/>
      <c r="F1" s="15"/>
      <c r="G1" s="15"/>
    </row>
    <row r="2" spans="1:7" ht="25.5" customHeight="1" x14ac:dyDescent="0.2">
      <c r="B2" s="6" t="s">
        <v>191</v>
      </c>
      <c r="C2" s="6"/>
      <c r="D2" s="6"/>
      <c r="E2" s="6"/>
      <c r="F2" s="6"/>
    </row>
    <row r="3" spans="1:7" ht="15.75" customHeight="1" x14ac:dyDescent="0.2">
      <c r="B3" s="5" t="s">
        <v>192</v>
      </c>
      <c r="C3" s="5"/>
      <c r="D3" s="5"/>
      <c r="E3" s="5"/>
      <c r="F3" s="5"/>
    </row>
    <row r="4" spans="1:7" ht="3" customHeight="1" x14ac:dyDescent="0.2">
      <c r="A4" s="16"/>
      <c r="B4" s="16"/>
      <c r="C4" s="16"/>
      <c r="D4" s="16"/>
      <c r="E4" s="16"/>
      <c r="F4" s="16"/>
      <c r="G4" s="16"/>
    </row>
    <row r="5" spans="1:7" ht="19.5" customHeight="1" x14ac:dyDescent="0.2">
      <c r="B5" s="4" t="s">
        <v>193</v>
      </c>
      <c r="C5" s="4"/>
      <c r="D5" s="4"/>
      <c r="E5" s="4"/>
      <c r="F5" s="4"/>
    </row>
    <row r="6" spans="1:7" ht="19.5" customHeight="1" x14ac:dyDescent="0.2">
      <c r="B6" s="87" t="s">
        <v>194</v>
      </c>
      <c r="C6" s="87" t="s">
        <v>195</v>
      </c>
      <c r="D6" s="87" t="s">
        <v>196</v>
      </c>
      <c r="E6" s="87" t="s">
        <v>197</v>
      </c>
      <c r="F6" s="87" t="s">
        <v>198</v>
      </c>
    </row>
    <row r="7" spans="1:7" ht="51" customHeight="1" x14ac:dyDescent="0.2">
      <c r="B7" s="94" t="s">
        <v>199</v>
      </c>
      <c r="C7" s="95" t="s">
        <v>200</v>
      </c>
      <c r="D7" s="96">
        <v>350</v>
      </c>
      <c r="E7" s="97">
        <v>0.62790697674418605</v>
      </c>
      <c r="F7" s="70" t="s">
        <v>201</v>
      </c>
    </row>
    <row r="8" spans="1:7" ht="54" customHeight="1" x14ac:dyDescent="0.2">
      <c r="B8" s="94" t="s">
        <v>202</v>
      </c>
      <c r="C8" s="95" t="s">
        <v>203</v>
      </c>
      <c r="D8" s="96">
        <v>320</v>
      </c>
      <c r="E8" s="97">
        <v>0.48837209302325602</v>
      </c>
      <c r="F8" s="71" t="s">
        <v>204</v>
      </c>
    </row>
    <row r="9" spans="1:7" ht="38" customHeight="1" x14ac:dyDescent="0.2">
      <c r="B9" s="94" t="s">
        <v>205</v>
      </c>
      <c r="C9" s="95" t="s">
        <v>206</v>
      </c>
      <c r="D9" s="96">
        <v>315</v>
      </c>
      <c r="E9" s="97">
        <v>0.46511627906976699</v>
      </c>
      <c r="F9" s="70" t="s">
        <v>207</v>
      </c>
    </row>
    <row r="10" spans="1:7" ht="52" customHeight="1" x14ac:dyDescent="0.2">
      <c r="B10" s="94" t="s">
        <v>208</v>
      </c>
      <c r="C10" s="95" t="s">
        <v>203</v>
      </c>
      <c r="D10" s="96">
        <v>310</v>
      </c>
      <c r="E10" s="97">
        <v>0.44186046511627902</v>
      </c>
      <c r="F10" s="71" t="s">
        <v>209</v>
      </c>
    </row>
    <row r="11" spans="1:7" ht="37.5" customHeight="1" x14ac:dyDescent="0.2">
      <c r="B11" s="94" t="s">
        <v>210</v>
      </c>
      <c r="C11" s="95" t="s">
        <v>206</v>
      </c>
      <c r="D11" s="96">
        <v>300</v>
      </c>
      <c r="E11" s="97">
        <v>0.39534883720930197</v>
      </c>
      <c r="F11" s="70" t="s">
        <v>211</v>
      </c>
    </row>
    <row r="12" spans="1:7" ht="54" customHeight="1" x14ac:dyDescent="0.2">
      <c r="B12" s="85" t="s">
        <v>212</v>
      </c>
      <c r="C12" s="98" t="s">
        <v>203</v>
      </c>
      <c r="D12" s="99">
        <v>300</v>
      </c>
      <c r="E12" s="100">
        <v>0.39534883720930197</v>
      </c>
      <c r="F12" s="71" t="s">
        <v>213</v>
      </c>
    </row>
    <row r="13" spans="1:7" ht="37.5" customHeight="1" x14ac:dyDescent="0.2">
      <c r="B13" s="101" t="s">
        <v>214</v>
      </c>
      <c r="C13" s="102" t="s">
        <v>215</v>
      </c>
      <c r="D13" s="103">
        <v>268</v>
      </c>
      <c r="E13" s="104">
        <v>0.246511627906977</v>
      </c>
      <c r="F13" s="70" t="s">
        <v>216</v>
      </c>
    </row>
    <row r="14" spans="1:7" ht="48" customHeight="1" x14ac:dyDescent="0.2">
      <c r="B14" s="105" t="s">
        <v>217</v>
      </c>
      <c r="C14" s="106" t="s">
        <v>218</v>
      </c>
      <c r="D14" s="107">
        <v>248</v>
      </c>
      <c r="E14" s="108">
        <v>0.15348837209302299</v>
      </c>
      <c r="F14" s="71" t="s">
        <v>219</v>
      </c>
    </row>
    <row r="15" spans="1:7" ht="37.5" customHeight="1" x14ac:dyDescent="0.2">
      <c r="B15" s="109" t="s">
        <v>220</v>
      </c>
      <c r="C15" s="110" t="s">
        <v>221</v>
      </c>
      <c r="D15" s="111">
        <v>215</v>
      </c>
      <c r="E15" s="112" t="s">
        <v>49</v>
      </c>
      <c r="F15" s="70" t="s">
        <v>222</v>
      </c>
    </row>
    <row r="17" spans="2:6" ht="19.5" customHeight="1" x14ac:dyDescent="0.2">
      <c r="B17" s="4" t="s">
        <v>223</v>
      </c>
      <c r="C17" s="4"/>
      <c r="D17" s="4"/>
      <c r="E17" s="4"/>
      <c r="F17" s="4"/>
    </row>
    <row r="18" spans="2:6" ht="19.5" customHeight="1" x14ac:dyDescent="0.2">
      <c r="B18" s="113" t="s">
        <v>224</v>
      </c>
      <c r="C18" s="113" t="s">
        <v>225</v>
      </c>
      <c r="D18" s="113" t="s">
        <v>38</v>
      </c>
      <c r="E18" s="113" t="s">
        <v>226</v>
      </c>
      <c r="F18" s="113" t="s">
        <v>227</v>
      </c>
    </row>
    <row r="19" spans="2:6" ht="18" customHeight="1" x14ac:dyDescent="0.2">
      <c r="B19" s="114" t="s">
        <v>228</v>
      </c>
      <c r="C19" s="115" t="s">
        <v>229</v>
      </c>
      <c r="D19" s="115" t="s">
        <v>230</v>
      </c>
      <c r="E19" s="115" t="s">
        <v>231</v>
      </c>
      <c r="F19" s="115" t="s">
        <v>232</v>
      </c>
    </row>
    <row r="20" spans="2:6" ht="18" customHeight="1" x14ac:dyDescent="0.2">
      <c r="B20" s="116" t="s">
        <v>233</v>
      </c>
      <c r="C20" s="117" t="s">
        <v>234</v>
      </c>
      <c r="D20" s="117" t="s">
        <v>235</v>
      </c>
      <c r="E20" s="117" t="s">
        <v>236</v>
      </c>
      <c r="F20" s="117" t="s">
        <v>237</v>
      </c>
    </row>
    <row r="21" spans="2:6" ht="18" customHeight="1" x14ac:dyDescent="0.2">
      <c r="B21" s="114" t="s">
        <v>238</v>
      </c>
      <c r="C21" s="115" t="s">
        <v>239</v>
      </c>
      <c r="D21" s="115" t="s">
        <v>240</v>
      </c>
      <c r="E21" s="115" t="s">
        <v>241</v>
      </c>
      <c r="F21" s="115" t="s">
        <v>242</v>
      </c>
    </row>
    <row r="22" spans="2:6" ht="18" customHeight="1" x14ac:dyDescent="0.2">
      <c r="B22" s="116" t="s">
        <v>243</v>
      </c>
      <c r="C22" s="117" t="s">
        <v>244</v>
      </c>
      <c r="D22" s="117" t="s">
        <v>245</v>
      </c>
      <c r="E22" s="117" t="s">
        <v>246</v>
      </c>
      <c r="F22" s="117" t="s">
        <v>247</v>
      </c>
    </row>
    <row r="23" spans="2:6" ht="18" customHeight="1" x14ac:dyDescent="0.2">
      <c r="B23" s="114" t="s">
        <v>248</v>
      </c>
      <c r="C23" s="115" t="s">
        <v>249</v>
      </c>
      <c r="D23" s="115" t="s">
        <v>250</v>
      </c>
      <c r="E23" s="115" t="s">
        <v>251</v>
      </c>
      <c r="F23" s="115" t="s">
        <v>252</v>
      </c>
    </row>
    <row r="24" spans="2:6" ht="18" customHeight="1" x14ac:dyDescent="0.2">
      <c r="B24" s="116" t="s">
        <v>253</v>
      </c>
      <c r="C24" s="117" t="s">
        <v>254</v>
      </c>
      <c r="D24" s="117" t="s">
        <v>255</v>
      </c>
      <c r="E24" s="117" t="s">
        <v>256</v>
      </c>
      <c r="F24" s="117" t="s">
        <v>257</v>
      </c>
    </row>
  </sheetData>
  <mergeCells count="4">
    <mergeCell ref="B2:F2"/>
    <mergeCell ref="B3:F3"/>
    <mergeCell ref="B5:F5"/>
    <mergeCell ref="B17:F1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Cover</vt:lpstr>
      <vt:lpstr>Income Statement</vt:lpstr>
      <vt:lpstr>Segment Analysis</vt:lpstr>
      <vt:lpstr>Scenario Model</vt:lpstr>
      <vt:lpstr>DCF Valuation</vt:lpstr>
      <vt:lpstr>Risk Dashboard</vt:lpstr>
      <vt:lpstr>Analyst Consensus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Sareen, Prathit</cp:lastModifiedBy>
  <cp:revision>0</cp:revision>
  <dcterms:created xsi:type="dcterms:W3CDTF">2026-04-16T02:06:32Z</dcterms:created>
  <dcterms:modified xsi:type="dcterms:W3CDTF">2026-04-16T02:10:39Z</dcterms:modified>
  <dc:language>en-US</dc:language>
</cp:coreProperties>
</file>