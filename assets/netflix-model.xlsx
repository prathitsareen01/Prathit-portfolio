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/>
  <mc:AlternateContent xmlns:mc="http://schemas.openxmlformats.org/markup-compatibility/2006">
    <mc:Choice Requires="x15">
      <x15ac:absPath xmlns:x15ac="http://schemas.microsoft.com/office/spreadsheetml/2010/11/ac" url="/Users/prathitsareen/Downloads/"/>
    </mc:Choice>
  </mc:AlternateContent>
  <xr:revisionPtr revIDLastSave="0" documentId="8_{602D4D35-05E7-2B4B-B17B-B322A01165DA}" xr6:coauthVersionLast="47" xr6:coauthVersionMax="47" xr10:uidLastSave="{00000000-0000-0000-0000-000000000000}"/>
  <bookViews>
    <workbookView xWindow="0" yWindow="780" windowWidth="34200" windowHeight="21460" tabRatio="500" xr2:uid="{00000000-000D-0000-FFFF-FFFF00000000}"/>
  </bookViews>
  <sheets>
    <sheet name="Cover" sheetId="1" r:id="rId1"/>
    <sheet name="Key Assumptions" sheetId="2" r:id="rId2"/>
    <sheet name="Standalone Financials" sheetId="3" r:id="rId3"/>
    <sheet name="Acquisition Model" sheetId="4" r:id="rId4"/>
    <sheet name="Synergy Analysis" sheetId="5" r:id="rId5"/>
    <sheet name="Subscriber Growth" sheetId="6" r:id="rId6"/>
    <sheet name="Content ROI" sheetId="7" r:id="rId7"/>
    <sheet name="Valuation &amp; Returns" sheetId="8" r:id="rId8"/>
    <sheet name="Sensitivity Analysis" sheetId="9" r:id="rId9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14" i="8" l="1"/>
  <c r="F14" i="8"/>
  <c r="E14" i="8"/>
  <c r="D14" i="8"/>
  <c r="C14" i="8"/>
  <c r="G8" i="8"/>
  <c r="F8" i="8"/>
  <c r="E8" i="8"/>
  <c r="D8" i="8"/>
  <c r="C8" i="8"/>
  <c r="G19" i="7"/>
  <c r="G20" i="7" s="1"/>
  <c r="F19" i="7"/>
  <c r="F20" i="7" s="1"/>
  <c r="E19" i="7"/>
  <c r="E20" i="7" s="1"/>
  <c r="D19" i="7"/>
  <c r="D20" i="7" s="1"/>
  <c r="C19" i="7"/>
  <c r="C20" i="7" s="1"/>
  <c r="C21" i="7" s="1"/>
  <c r="E10" i="7"/>
  <c r="D10" i="7"/>
  <c r="C10" i="7"/>
  <c r="J14" i="6"/>
  <c r="I14" i="6"/>
  <c r="H14" i="6"/>
  <c r="G14" i="6"/>
  <c r="F14" i="6"/>
  <c r="E14" i="6"/>
  <c r="D14" i="6"/>
  <c r="C14" i="6"/>
  <c r="J8" i="6"/>
  <c r="J9" i="6" s="1"/>
  <c r="I8" i="6"/>
  <c r="I9" i="6" s="1"/>
  <c r="H8" i="6"/>
  <c r="H9" i="6" s="1"/>
  <c r="G8" i="6"/>
  <c r="G9" i="6" s="1"/>
  <c r="F8" i="6"/>
  <c r="F9" i="6" s="1"/>
  <c r="E8" i="6"/>
  <c r="E9" i="6" s="1"/>
  <c r="D8" i="6"/>
  <c r="D9" i="6" s="1"/>
  <c r="C8" i="6"/>
  <c r="C9" i="6" s="1"/>
  <c r="C16" i="6" s="1"/>
  <c r="C18" i="6" s="1"/>
  <c r="H17" i="5"/>
  <c r="G17" i="5"/>
  <c r="F17" i="5"/>
  <c r="E17" i="5"/>
  <c r="D17" i="5"/>
  <c r="C17" i="5"/>
  <c r="H10" i="5"/>
  <c r="G10" i="5"/>
  <c r="F10" i="5"/>
  <c r="E10" i="5"/>
  <c r="D10" i="5"/>
  <c r="C10" i="5"/>
  <c r="G22" i="4"/>
  <c r="F22" i="4"/>
  <c r="E22" i="4"/>
  <c r="D22" i="4"/>
  <c r="C22" i="4"/>
  <c r="E7" i="4"/>
  <c r="F19" i="3"/>
  <c r="G19" i="3" s="1"/>
  <c r="H19" i="3" s="1"/>
  <c r="E16" i="3"/>
  <c r="E17" i="3" s="1"/>
  <c r="D16" i="3"/>
  <c r="D17" i="3" s="1"/>
  <c r="C16" i="3"/>
  <c r="C17" i="3" s="1"/>
  <c r="F15" i="3"/>
  <c r="G15" i="3" s="1"/>
  <c r="H15" i="3" s="1"/>
  <c r="F14" i="3"/>
  <c r="G14" i="3" s="1"/>
  <c r="H14" i="3" s="1"/>
  <c r="F13" i="3"/>
  <c r="G13" i="3" s="1"/>
  <c r="H13" i="3" s="1"/>
  <c r="F12" i="3"/>
  <c r="F39" i="2"/>
  <c r="F41" i="2" s="1"/>
  <c r="E39" i="2"/>
  <c r="E41" i="2" s="1"/>
  <c r="D39" i="2"/>
  <c r="D41" i="2" s="1"/>
  <c r="C39" i="2"/>
  <c r="C41" i="2" s="1"/>
  <c r="G19" i="8" l="1"/>
  <c r="G15" i="8"/>
  <c r="F19" i="8"/>
  <c r="F15" i="8"/>
  <c r="E19" i="8"/>
  <c r="E15" i="8"/>
  <c r="D19" i="8"/>
  <c r="D15" i="8"/>
  <c r="C15" i="8"/>
  <c r="C19" i="8"/>
  <c r="D21" i="7"/>
  <c r="C22" i="7"/>
  <c r="J10" i="6"/>
  <c r="J16" i="6"/>
  <c r="J18" i="6" s="1"/>
  <c r="I10" i="6"/>
  <c r="I16" i="6"/>
  <c r="I18" i="6" s="1"/>
  <c r="H10" i="6"/>
  <c r="H16" i="6"/>
  <c r="H18" i="6" s="1"/>
  <c r="G10" i="6"/>
  <c r="G16" i="6"/>
  <c r="G18" i="6" s="1"/>
  <c r="F10" i="6"/>
  <c r="F16" i="6"/>
  <c r="F18" i="6" s="1"/>
  <c r="E10" i="6"/>
  <c r="E16" i="6"/>
  <c r="E18" i="6" s="1"/>
  <c r="D10" i="6"/>
  <c r="D16" i="6"/>
  <c r="D18" i="6" s="1"/>
  <c r="G25" i="4"/>
  <c r="G23" i="4"/>
  <c r="F25" i="4"/>
  <c r="F23" i="4"/>
  <c r="E25" i="4"/>
  <c r="E23" i="4"/>
  <c r="D25" i="4"/>
  <c r="D23" i="4"/>
  <c r="C25" i="4"/>
  <c r="C23" i="4"/>
  <c r="E18" i="3"/>
  <c r="E20" i="3"/>
  <c r="E24" i="3"/>
  <c r="E25" i="3" s="1"/>
  <c r="D18" i="3"/>
  <c r="D20" i="3"/>
  <c r="D24" i="3"/>
  <c r="D25" i="3" s="1"/>
  <c r="C18" i="3"/>
  <c r="C20" i="3"/>
  <c r="C24" i="3"/>
  <c r="C25" i="3" s="1"/>
  <c r="F16" i="3"/>
  <c r="F17" i="3" s="1"/>
  <c r="G12" i="3"/>
  <c r="G20" i="8" l="1"/>
  <c r="G21" i="8"/>
  <c r="G22" i="8" s="1"/>
  <c r="F20" i="8"/>
  <c r="F21" i="8"/>
  <c r="F22" i="8" s="1"/>
  <c r="E20" i="8"/>
  <c r="E21" i="8" s="1"/>
  <c r="E22" i="8" s="1"/>
  <c r="D20" i="8"/>
  <c r="D21" i="8" s="1"/>
  <c r="D22" i="8" s="1"/>
  <c r="C20" i="8"/>
  <c r="C21" i="8" s="1"/>
  <c r="C22" i="8" s="1"/>
  <c r="E21" i="7"/>
  <c r="D22" i="7"/>
  <c r="G26" i="4"/>
  <c r="G28" i="4"/>
  <c r="F26" i="4"/>
  <c r="F28" i="4"/>
  <c r="E26" i="4"/>
  <c r="E28" i="4"/>
  <c r="D26" i="4"/>
  <c r="D28" i="4"/>
  <c r="C26" i="4"/>
  <c r="C28" i="4"/>
  <c r="E21" i="3"/>
  <c r="E22" i="3"/>
  <c r="E23" i="3" s="1"/>
  <c r="D21" i="3"/>
  <c r="D22" i="3"/>
  <c r="D23" i="3" s="1"/>
  <c r="C21" i="3"/>
  <c r="C22" i="3"/>
  <c r="C23" i="3" s="1"/>
  <c r="F18" i="3"/>
  <c r="F20" i="3"/>
  <c r="F24" i="3"/>
  <c r="F25" i="3" s="1"/>
  <c r="H12" i="3"/>
  <c r="H16" i="3" s="1"/>
  <c r="H17" i="3" s="1"/>
  <c r="G16" i="3"/>
  <c r="G17" i="3" s="1"/>
  <c r="F21" i="7" l="1"/>
  <c r="E22" i="7"/>
  <c r="F21" i="3"/>
  <c r="F22" i="3"/>
  <c r="F23" i="3" s="1"/>
  <c r="H18" i="3"/>
  <c r="H20" i="3"/>
  <c r="H24" i="3"/>
  <c r="H25" i="3" s="1"/>
  <c r="G18" i="3"/>
  <c r="G20" i="3"/>
  <c r="G24" i="3"/>
  <c r="G25" i="3" s="1"/>
  <c r="G21" i="7" l="1"/>
  <c r="G22" i="7" s="1"/>
  <c r="F22" i="7"/>
  <c r="H21" i="3"/>
  <c r="H22" i="3" s="1"/>
  <c r="H23" i="3" s="1"/>
  <c r="G21" i="3"/>
  <c r="G22" i="3"/>
  <c r="G23" i="3" s="1"/>
</calcChain>
</file>

<file path=xl/sharedStrings.xml><?xml version="1.0" encoding="utf-8"?>
<sst xmlns="http://schemas.openxmlformats.org/spreadsheetml/2006/main" count="365" uniqueCount="310">
  <si>
    <t>STRATEGIC DIVERSIFICATION THROUGH</t>
  </si>
  <si>
    <t>GAMING &amp; CONTENT ACQUISITION</t>
  </si>
  <si>
    <t>Netflix, Inc.  |  M&amp;A Strategy Model  |  FY 2026 – FY 2030</t>
  </si>
  <si>
    <t>Prepared by:</t>
  </si>
  <si>
    <t>Strategy &amp; Corporate Development</t>
  </si>
  <si>
    <t>Date:</t>
  </si>
  <si>
    <t>April 2026</t>
  </si>
  <si>
    <t>Confidential:</t>
  </si>
  <si>
    <t>For Internal / Academic Use Only</t>
  </si>
  <si>
    <t>EXECUTIVE SUMMARY</t>
  </si>
  <si>
    <t>STRATEGIC RATIONALE</t>
  </si>
  <si>
    <t>Netflix faces a critical inflection point: subscriber growth is decelerating (23M adds in 2025 vs. 41M in 2024) while</t>
  </si>
  <si>
    <t>competitors Disney+, Apple TV+, and Amazon Prime are deepening engagement through gaming and diversified IP.</t>
  </si>
  <si>
    <t>This model evaluates the M&amp;A case for acquiring a Tier-1 gaming studio and/or content production house.</t>
  </si>
  <si>
    <t>ACQUISITION THESIS</t>
  </si>
  <si>
    <t xml:space="preserve">  • Diversify revenue beyond streaming subscriptions into gaming ($200B+ global market)</t>
  </si>
  <si>
    <t xml:space="preserve">  • Increase daily engagement from ~2 hrs/day to 3+ hrs via interactive gaming content</t>
  </si>
  <si>
    <t xml:space="preserve">  • Leverage 325M+ subscriber base for game distribution at near-zero marginal cost</t>
  </si>
  <si>
    <t xml:space="preserve">  • Compete with Disney's franchise IP model through owned gaming universes</t>
  </si>
  <si>
    <t xml:space="preserve">  • Accelerate advertising revenue via in-game ad inventory ($3B → $9B target by 2030)</t>
  </si>
  <si>
    <t>TARGET ACQUISITION PROFILE</t>
  </si>
  <si>
    <t xml:space="preserve">  • Scenario A – Mid-Size Gaming Studio:   $3.0B – $5.0B enterprise value (e.g., Take-Two label, mid-tier studio)</t>
  </si>
  <si>
    <t xml:space="preserve">  • Scenario B – Premium Content House:   $5.0B – $8.0B enterprise value (IP-rich production studio)</t>
  </si>
  <si>
    <t xml:space="preserve">  • Scenario C – Transformative Platform:  $8.0B – $12.0B enterprise value (cross-platform gaming + content)</t>
  </si>
  <si>
    <t>MODEL CONTENTS</t>
  </si>
  <si>
    <t xml:space="preserve">  Tab 1 – Cover            Tab 2 – Key Assumptions       Tab 3 – Standalone Financials</t>
  </si>
  <si>
    <t xml:space="preserve">  Tab 4 – Acquisition Model Tab 5 – Synergy Analysis       Tab 6 – Subscriber Growth</t>
  </si>
  <si>
    <t xml:space="preserve">  Tab 7 – Content ROI      Tab 8 – Valuation &amp; Returns     Tab 9 – Sensitivity Analysis</t>
  </si>
  <si>
    <t>COLOR CODING CONVENTION</t>
  </si>
  <si>
    <t>■</t>
  </si>
  <si>
    <t>Blue text = Hardcoded input assumptions</t>
  </si>
  <si>
    <t>Black text = Formula-driven calculations</t>
  </si>
  <si>
    <t>Green text = Cross-sheet links</t>
  </si>
  <si>
    <t>Red text = External data / source references</t>
  </si>
  <si>
    <t>KEY ASSUMPTIONS  –  Netflix Gaming &amp; Content M&amp;A Model  (FY 2026 – FY 2030)</t>
  </si>
  <si>
    <t>A. NETFLIX BASELINE METRICS (Source: Netflix FY2025 10-K / Earnings)</t>
  </si>
  <si>
    <t>Metric</t>
  </si>
  <si>
    <t>FY 2025 Actual</t>
  </si>
  <si>
    <t>FY 2026E</t>
  </si>
  <si>
    <t>Source</t>
  </si>
  <si>
    <t>Total Revenue ($mm)</t>
  </si>
  <si>
    <t>Netflix FY2025 10-K</t>
  </si>
  <si>
    <t>Subscriber Count (mm)</t>
  </si>
  <si>
    <t>Netflix Q4 2025 Earnings</t>
  </si>
  <si>
    <t>Average ARPU ($/month)</t>
  </si>
  <si>
    <t>Advertising Revenue ($mm)</t>
  </si>
  <si>
    <t>Netflix FY2025 Earnings</t>
  </si>
  <si>
    <t>Content Spend ($mm)</t>
  </si>
  <si>
    <t>Netflix 2026 Guidance</t>
  </si>
  <si>
    <t>Operating Income ($mm)</t>
  </si>
  <si>
    <t>S&amp;P Global Consensus</t>
  </si>
  <si>
    <t>Operating Margin (%)</t>
  </si>
  <si>
    <t>Net Income ($mm)</t>
  </si>
  <si>
    <t>Gaming Downloads (mm)</t>
  </si>
  <si>
    <t>DeepResearch Global 2026</t>
  </si>
  <si>
    <t>Daily Engagement (hrs/subscriber)</t>
  </si>
  <si>
    <t>Netflix Shareholder Letter</t>
  </si>
  <si>
    <t>B. ACQUISITION SCENARIOS</t>
  </si>
  <si>
    <t>Scenario</t>
  </si>
  <si>
    <t>Deal Size ($mm)</t>
  </si>
  <si>
    <t>EV/Revenue</t>
  </si>
  <si>
    <t>EV/EBITDA</t>
  </si>
  <si>
    <t>Financing Mix</t>
  </si>
  <si>
    <t>A – Mid-Size Gaming Studio</t>
  </si>
  <si>
    <t>4.0x</t>
  </si>
  <si>
    <t>15.0x</t>
  </si>
  <si>
    <t>60% Debt / 40% Equity</t>
  </si>
  <si>
    <t>B – Premium Content House</t>
  </si>
  <si>
    <t>3.5x</t>
  </si>
  <si>
    <t>18.0x</t>
  </si>
  <si>
    <t>50% Debt / 50% Equity</t>
  </si>
  <si>
    <t>C – Transformative Platform</t>
  </si>
  <si>
    <t>5.0x</t>
  </si>
  <si>
    <t>22.0x</t>
  </si>
  <si>
    <t>40% Debt / 60% Equity</t>
  </si>
  <si>
    <t>C. REVENUE GROWTH ASSUMPTIONS (Post-Acquisition)</t>
  </si>
  <si>
    <t>Driver</t>
  </si>
  <si>
    <t>2026E</t>
  </si>
  <si>
    <t>2027E</t>
  </si>
  <si>
    <t>2028E</t>
  </si>
  <si>
    <t>2029-30E Avg</t>
  </si>
  <si>
    <t>Streaming Revenue Growth (%)</t>
  </si>
  <si>
    <t>Gaming Revenue Growth (%)</t>
  </si>
  <si>
    <t>Ad Revenue Growth (%)</t>
  </si>
  <si>
    <t>Content Production Revenue (%)</t>
  </si>
  <si>
    <t>Subscriber Uplift from Gaming (mm)</t>
  </si>
  <si>
    <t>Churn Reduction (bps)</t>
  </si>
  <si>
    <t>D. SYNERGY ASSUMPTIONS ($mm)</t>
  </si>
  <si>
    <t>Synergy Type</t>
  </si>
  <si>
    <t>Year 1</t>
  </si>
  <si>
    <t>Year 2</t>
  </si>
  <si>
    <t>Year 3</t>
  </si>
  <si>
    <t>Run-Rate</t>
  </si>
  <si>
    <t>Content Cost Savings (shared IP)</t>
  </si>
  <si>
    <t>Cross-Marketing Efficiencies</t>
  </si>
  <si>
    <t>Platform Technology Sharing</t>
  </si>
  <si>
    <t>Subscriber Acquisition Synergies</t>
  </si>
  <si>
    <t>Gaming In-App Advertising Revenue</t>
  </si>
  <si>
    <t>Licensing &amp; Merchandise Revenue</t>
  </si>
  <si>
    <t>Total Gross Synergies</t>
  </si>
  <si>
    <t>Integration Costs (one-time)</t>
  </si>
  <si>
    <t>Net Synergies</t>
  </si>
  <si>
    <t>NETFLIX STANDALONE INCOME STATEMENT  ($mm)  |  FY 2023 – FY 2030E</t>
  </si>
  <si>
    <t>FY 2023A</t>
  </si>
  <si>
    <t>FY 2024A</t>
  </si>
  <si>
    <t>FY 2025A</t>
  </si>
  <si>
    <t>FY 2027E</t>
  </si>
  <si>
    <t>FY 2028E</t>
  </si>
  <si>
    <t>REVENUE BREAKDOWN</t>
  </si>
  <si>
    <t xml:space="preserve">  Streaming Subscription Revenue</t>
  </si>
  <si>
    <t xml:space="preserve">  Advertising Revenue</t>
  </si>
  <si>
    <t xml:space="preserve">  Gaming Revenue</t>
  </si>
  <si>
    <t xml:space="preserve">  Content Licensing &amp; Other</t>
  </si>
  <si>
    <t>Total Revenue</t>
  </si>
  <si>
    <t>COST STRUCTURE</t>
  </si>
  <si>
    <t xml:space="preserve">  Cost of Revenue (Content Amortization)</t>
  </si>
  <si>
    <t xml:space="preserve">  Technology &amp; Development</t>
  </si>
  <si>
    <t xml:space="preserve">  Sales &amp; Marketing</t>
  </si>
  <si>
    <t xml:space="preserve">  General &amp; Administrative</t>
  </si>
  <si>
    <t>Total Operating Expenses</t>
  </si>
  <si>
    <t>Operating Income (EBIT)</t>
  </si>
  <si>
    <t xml:space="preserve">  Operating Margin (%)</t>
  </si>
  <si>
    <t xml:space="preserve">  Interest Expense</t>
  </si>
  <si>
    <t xml:space="preserve">  Pre-Tax Income</t>
  </si>
  <si>
    <t xml:space="preserve">  Tax Provision (21%)</t>
  </si>
  <si>
    <t>Net Income</t>
  </si>
  <si>
    <t xml:space="preserve">  Net Margin (%)</t>
  </si>
  <si>
    <t>EBITDA (Est.)</t>
  </si>
  <si>
    <t xml:space="preserve">  EBITDA Margin (%)</t>
  </si>
  <si>
    <t>ACQUISITION FINANCIAL MODEL  –  Scenario B: Premium Gaming + Content Studio ($6,500mm)</t>
  </si>
  <si>
    <t>DEAL STRUCTURE &amp; FINANCING</t>
  </si>
  <si>
    <t>Item</t>
  </si>
  <si>
    <t>Value ($mm)</t>
  </si>
  <si>
    <t>% of Deal</t>
  </si>
  <si>
    <t>Notes</t>
  </si>
  <si>
    <t>Enterprise Value (Purchase Price)</t>
  </si>
  <si>
    <t>EV/Revenue: 3.5x  |  EV/EBITDA: 18.0x</t>
  </si>
  <si>
    <t>(Less): Assumed Debt</t>
  </si>
  <si>
    <t>Target net debt position</t>
  </si>
  <si>
    <t>Equity Purchase Price</t>
  </si>
  <si>
    <t>Financing – Senior Debt (50%)</t>
  </si>
  <si>
    <t>46.2%</t>
  </si>
  <si>
    <t>5-Year term loan @ 6.5% interest rate</t>
  </si>
  <si>
    <t>Financing – High Yield Bonds</t>
  </si>
  <si>
    <t>15.4%</t>
  </si>
  <si>
    <t>7-Year bonds @ 7.8% interest rate</t>
  </si>
  <si>
    <t>Financing – Netflix Equity/Cash</t>
  </si>
  <si>
    <t>38.5%</t>
  </si>
  <si>
    <t>Free cash flow + existing cash reserves</t>
  </si>
  <si>
    <t>Total Financing</t>
  </si>
  <si>
    <t>100.0%</t>
  </si>
  <si>
    <t>Blended cost of financing: ~5.8%</t>
  </si>
  <si>
    <t>Transaction Fees &amp; Advisory</t>
  </si>
  <si>
    <t>3.0%</t>
  </si>
  <si>
    <t>Estimated banker / legal / advisory fees</t>
  </si>
  <si>
    <t>Total Uses of Funds</t>
  </si>
  <si>
    <t>Purchase price + transaction costs</t>
  </si>
  <si>
    <t>TARGET COMPANY PRO FORMA FINANCIALS ($mm)</t>
  </si>
  <si>
    <t>FY 2029E</t>
  </si>
  <si>
    <t>Target Revenue</t>
  </si>
  <si>
    <t xml:space="preserve">  Revenue Growth (%)</t>
  </si>
  <si>
    <t>—</t>
  </si>
  <si>
    <t>Cost of Revenue</t>
  </si>
  <si>
    <t>Gross Profit</t>
  </si>
  <si>
    <t>Gross Margin (%)</t>
  </si>
  <si>
    <t>Operating Expenses</t>
  </si>
  <si>
    <t>EBITDA</t>
  </si>
  <si>
    <t>EBITDA Margin (%)</t>
  </si>
  <si>
    <t>D&amp;A</t>
  </si>
  <si>
    <t>EBIT</t>
  </si>
  <si>
    <t>SYNERGY WATERFALL &amp; ANALYSIS  ($mm)  |  FY 2026 – FY 2030E</t>
  </si>
  <si>
    <t>FY 2030E</t>
  </si>
  <si>
    <t>REVENUE SYNERGIES</t>
  </si>
  <si>
    <t xml:space="preserve">  Subscriber Uplift – Gaming Attraction</t>
  </si>
  <si>
    <t xml:space="preserve">  Advertising Uplift – Gaming Inventory</t>
  </si>
  <si>
    <t xml:space="preserve">  Content Licensing to 3rd Parties</t>
  </si>
  <si>
    <t xml:space="preserve">  Merchandise &amp; Gaming IP Revenue</t>
  </si>
  <si>
    <t xml:space="preserve">  Interactive/Live Event Revenue</t>
  </si>
  <si>
    <t>Total Revenue Synergies</t>
  </si>
  <si>
    <t>COST SYNERGIES</t>
  </si>
  <si>
    <t xml:space="preserve">  Shared Content Production Savings</t>
  </si>
  <si>
    <t xml:space="preserve">  Technology Platform Consolidation</t>
  </si>
  <si>
    <t xml:space="preserve">  Cross-Marketing Efficiencies</t>
  </si>
  <si>
    <t xml:space="preserve">  G&amp;A / Corporate Overhead Savings</t>
  </si>
  <si>
    <t>Total Cost Synergies</t>
  </si>
  <si>
    <t>NET SYNERGY SUMMARY</t>
  </si>
  <si>
    <t>Integration Costs</t>
  </si>
  <si>
    <t>NPV of Synergies (10% WACC)</t>
  </si>
  <si>
    <t>SUBSCRIBER GROWTH MODEL  (mm Subscribers)  |  FY 2023 – FY 2030E</t>
  </si>
  <si>
    <t>Beginning Subscribers (mm)</t>
  </si>
  <si>
    <t xml:space="preserve">    Organic Net Adds (mm)</t>
  </si>
  <si>
    <t xml:space="preserve">    Gaming-Driven Uplift (mm)</t>
  </si>
  <si>
    <t xml:space="preserve">    Churn Reduction Benefit (mm)</t>
  </si>
  <si>
    <t>Total Net Adds (mm)</t>
  </si>
  <si>
    <t>Ending Subscribers (mm)</t>
  </si>
  <si>
    <t xml:space="preserve">  Y/Y Subscriber Growth (%)</t>
  </si>
  <si>
    <t xml:space="preserve">  Monthly ARPU ($/month)</t>
  </si>
  <si>
    <t xml:space="preserve">  Advertising ARPU ($/month)</t>
  </si>
  <si>
    <t>Total ARPU ($/month)</t>
  </si>
  <si>
    <t>Implied Annual Revenue ($mm)</t>
  </si>
  <si>
    <t xml:space="preserve">  Standalone Revenue ($mm)</t>
  </si>
  <si>
    <t>Revenue Delta from Subs ($mm)</t>
  </si>
  <si>
    <t>CONTENT ROI  &amp;  GAMING INVESTMENT RETURN ANALYSIS</t>
  </si>
  <si>
    <t>A. CONTENT INVESTMENT FRAMEWORK ($mm)</t>
  </si>
  <si>
    <t>Content Type</t>
  </si>
  <si>
    <t>FY2026E</t>
  </si>
  <si>
    <t>FY2027E</t>
  </si>
  <si>
    <t>FY2028E</t>
  </si>
  <si>
    <t>ROI (3yr)</t>
  </si>
  <si>
    <t>Strategic Value</t>
  </si>
  <si>
    <t xml:space="preserve">  Original Series &amp; Films</t>
  </si>
  <si>
    <t>2.1x</t>
  </si>
  <si>
    <t>Core engagement driver</t>
  </si>
  <si>
    <t xml:space="preserve">  Gaming Development</t>
  </si>
  <si>
    <t>1.8x</t>
  </si>
  <si>
    <t>Engagement + new subs</t>
  </si>
  <si>
    <t xml:space="preserve">  Live Sports &amp; Events</t>
  </si>
  <si>
    <t>1.5x</t>
  </si>
  <si>
    <t>Ad revenue + acquisition</t>
  </si>
  <si>
    <t xml:space="preserve">  Interactive/Gaming Content</t>
  </si>
  <si>
    <t>2.3x</t>
  </si>
  <si>
    <t>High engagement ROI</t>
  </si>
  <si>
    <t xml:space="preserve">  Acquired IP &amp; Licensing</t>
  </si>
  <si>
    <t>3.1x</t>
  </si>
  <si>
    <t>Margin expansion</t>
  </si>
  <si>
    <t>Total Content Investment</t>
  </si>
  <si>
    <t>B. GAMING ROI WATERFALL ($mm)</t>
  </si>
  <si>
    <t>Year 4</t>
  </si>
  <si>
    <t>Year 5</t>
  </si>
  <si>
    <t xml:space="preserve">  Gaming Investment (CapEx)</t>
  </si>
  <si>
    <t xml:space="preserve">  Subscriber Revenue from Gaming</t>
  </si>
  <si>
    <t xml:space="preserve">  Gaming-Specific Ad Revenue</t>
  </si>
  <si>
    <t xml:space="preserve">  Merchandise &amp; IP Licensing</t>
  </si>
  <si>
    <t xml:space="preserve">  Churn Reduction Value</t>
  </si>
  <si>
    <t>Total Gaming Revenue Return</t>
  </si>
  <si>
    <t>Net Gaming Cash Flow</t>
  </si>
  <si>
    <t>Cumulative Cash Flow</t>
  </si>
  <si>
    <t>Gaming ROI (%)</t>
  </si>
  <si>
    <t>COMBINED ENTITY VALUATION  &amp;  SHAREHOLDER RETURNS  |  FY 2026 – FY 2030E</t>
  </si>
  <si>
    <t>A. COMBINED ENTITY INCOME STATEMENT ($mm)</t>
  </si>
  <si>
    <t xml:space="preserve">  Netflix Standalone Revenue</t>
  </si>
  <si>
    <t xml:space="preserve">  Target Acquisition Revenue</t>
  </si>
  <si>
    <t xml:space="preserve">  Revenue Synergies</t>
  </si>
  <si>
    <t>Total Combined Revenue</t>
  </si>
  <si>
    <t xml:space="preserve">  EBITDA – Standalone</t>
  </si>
  <si>
    <t xml:space="preserve">  EBITDA – Target</t>
  </si>
  <si>
    <t xml:space="preserve">  Cost Synergies</t>
  </si>
  <si>
    <t xml:space="preserve">  Integration Costs</t>
  </si>
  <si>
    <t>Combined EBITDA</t>
  </si>
  <si>
    <t xml:space="preserve">  D&amp;A &amp; Amortization</t>
  </si>
  <si>
    <t xml:space="preserve">  Interest Expense (w/ Acq. Debt)</t>
  </si>
  <si>
    <t>Combined Pre-Tax Income</t>
  </si>
  <si>
    <t xml:space="preserve">  Taxes (21%)</t>
  </si>
  <si>
    <t>Combined Net Income</t>
  </si>
  <si>
    <t xml:space="preserve">  EPS Impact (Accretion / Dilution)</t>
  </si>
  <si>
    <t>B. DEAL RETURNS ANALYSIS</t>
  </si>
  <si>
    <t>Purchase Price / EV ($mm)</t>
  </si>
  <si>
    <t>Implied Premium to Market (est.)</t>
  </si>
  <si>
    <t>35%</t>
  </si>
  <si>
    <t>Break-even Synergy Required ($mm)</t>
  </si>
  <si>
    <t>NPV of Synergies @ 10% WACC ($mm)</t>
  </si>
  <si>
    <t>Synergy Value / Deal Price</t>
  </si>
  <si>
    <t>1.31x</t>
  </si>
  <si>
    <t>Estimated IRR (5-yr horizon)</t>
  </si>
  <si>
    <t>22.4%</t>
  </si>
  <si>
    <t>Estimated Cash Payback Period</t>
  </si>
  <si>
    <t>3.8 years</t>
  </si>
  <si>
    <t>EPS Accretion by Year 3</t>
  </si>
  <si>
    <t>~14%</t>
  </si>
  <si>
    <t>Credit Rating Impact</t>
  </si>
  <si>
    <t>Neutral (Baa1)</t>
  </si>
  <si>
    <t>SENSITIVITY ANALYSIS  –  IRR &amp; DEAL VALUE UNDER VARYING SCENARIOS</t>
  </si>
  <si>
    <t>TABLE 1: PROJECT IRR (%)  –  Deal Size ($mm) vs. Annual Synergies ($mm Run-Rate)</t>
  </si>
  <si>
    <t>Deal Size / Synergies →</t>
  </si>
  <si>
    <t>$500</t>
  </si>
  <si>
    <t>$750</t>
  </si>
  <si>
    <t>$1,000</t>
  </si>
  <si>
    <t>$1,500</t>
  </si>
  <si>
    <t>$2,000</t>
  </si>
  <si>
    <t>$2,500</t>
  </si>
  <si>
    <t>$3,000</t>
  </si>
  <si>
    <t>$3,500</t>
  </si>
  <si>
    <t>$4,000</t>
  </si>
  <si>
    <t>$3,000mm</t>
  </si>
  <si>
    <t>$4,000mm</t>
  </si>
  <si>
    <t>$5,000mm</t>
  </si>
  <si>
    <t>$6,000mm</t>
  </si>
  <si>
    <t>$6,500mm</t>
  </si>
  <si>
    <t>$7,000mm</t>
  </si>
  <si>
    <t>$8,000mm</t>
  </si>
  <si>
    <t>$9,000mm</t>
  </si>
  <si>
    <t>$10,000mm</t>
  </si>
  <si>
    <t>TABLE 2: EPS ACCRETION / (DILUTION)  –  EBITDA Margin vs. Revenue Synergies ($mm)</t>
  </si>
  <si>
    <t>EBITDA Margin / Rev Syn →</t>
  </si>
  <si>
    <t>$0</t>
  </si>
  <si>
    <t>$200</t>
  </si>
  <si>
    <t>22%</t>
  </si>
  <si>
    <t>24%</t>
  </si>
  <si>
    <t>26%</t>
  </si>
  <si>
    <t>28%</t>
  </si>
  <si>
    <t>30%</t>
  </si>
  <si>
    <t>32%</t>
  </si>
  <si>
    <t>34%</t>
  </si>
  <si>
    <t>36%</t>
  </si>
  <si>
    <t>LEGEND:</t>
  </si>
  <si>
    <t>IRR 15-20%  |  Marginally Accretive</t>
  </si>
  <si>
    <t>IRR 20-30%  |  Moderately Accretive</t>
  </si>
  <si>
    <t>IRR 30%+    |  Strongly Accretive</t>
  </si>
  <si>
    <t>IRR 10-15%  |  Caution Zone</t>
  </si>
  <si>
    <t>IRR &lt;10%    |  Value Destructive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</si>
</sst>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%"/>
    <numFmt numFmtId="165" formatCode="#,##0.0"/>
    <numFmt numFmtId="166" formatCode="0.0"/>
    <numFmt numFmtId="167" formatCode="\$#,##0.00"/>
  </numFmts>
  <fonts count="26" x14ac:knownFonts="1">
    <font>
      <sz val="11"/>
      <color theme="1"/>
      <name val="Calibri"/>
      <family val="2"/>
      <charset val="1"/>
    </font>
    <font>
      <b/>
      <sz val="20"/>
      <color rgb="FFFFFFFF"/>
      <name val="Arial"/>
      <family val="2"/>
    </font>
    <font>
      <b/>
      <sz val="26"/>
      <color rgb="FFFFFFFF"/>
      <name val="Arial"/>
      <family val="2"/>
    </font>
    <font>
      <sz val="12"/>
      <color rgb="FFFFE0E0"/>
      <name val="Arial"/>
      <family val="2"/>
    </font>
    <font>
      <b/>
      <sz val="10"/>
      <color rgb="FFC9A227"/>
      <name val="Arial"/>
      <family val="2"/>
    </font>
    <font>
      <sz val="10"/>
      <color rgb="FFFFFFFF"/>
      <name val="Arial"/>
      <family val="2"/>
    </font>
    <font>
      <b/>
      <sz val="13"/>
      <color rgb="FF141414"/>
      <name val="Arial"/>
      <family val="2"/>
    </font>
    <font>
      <b/>
      <sz val="11"/>
      <color rgb="FFE50914"/>
      <name val="Arial"/>
      <family val="2"/>
    </font>
    <font>
      <sz val="10"/>
      <color rgb="FF141414"/>
      <name val="Arial"/>
      <family val="2"/>
    </font>
    <font>
      <b/>
      <sz val="11"/>
      <color rgb="FF141414"/>
      <name val="Arial"/>
      <family val="2"/>
    </font>
    <font>
      <b/>
      <sz val="14"/>
      <color rgb="FF0070C0"/>
      <name val="Arial"/>
      <family val="2"/>
    </font>
    <font>
      <b/>
      <sz val="14"/>
      <color rgb="FF000000"/>
      <name val="Arial"/>
      <family val="2"/>
    </font>
    <font>
      <b/>
      <sz val="14"/>
      <color rgb="FF00B050"/>
      <name val="Arial"/>
      <family val="2"/>
    </font>
    <font>
      <b/>
      <sz val="14"/>
      <color rgb="FFFF0000"/>
      <name val="Arial"/>
      <family val="2"/>
    </font>
    <font>
      <b/>
      <sz val="13"/>
      <color rgb="FFFFFFFF"/>
      <name val="Arial"/>
      <family val="2"/>
    </font>
    <font>
      <b/>
      <sz val="11"/>
      <color rgb="FFFFFFFF"/>
      <name val="Arial"/>
      <family val="2"/>
    </font>
    <font>
      <b/>
      <sz val="10"/>
      <color rgb="FFFFFFFF"/>
      <name val="Arial"/>
      <family val="2"/>
    </font>
    <font>
      <sz val="10"/>
      <color rgb="FF000000"/>
      <name val="Arial"/>
      <family val="2"/>
    </font>
    <font>
      <sz val="10"/>
      <color rgb="FF0070C0"/>
      <name val="Arial"/>
      <family val="2"/>
    </font>
    <font>
      <i/>
      <sz val="9"/>
      <color rgb="FFFF0000"/>
      <name val="Arial"/>
      <family val="2"/>
    </font>
    <font>
      <b/>
      <sz val="10"/>
      <color rgb="FF000000"/>
      <name val="Arial"/>
      <family val="2"/>
    </font>
    <font>
      <i/>
      <sz val="9"/>
      <color rgb="FF595959"/>
      <name val="Arial"/>
      <family val="2"/>
    </font>
    <font>
      <b/>
      <sz val="10"/>
      <color rgb="FF0070C0"/>
      <name val="Arial"/>
      <family val="2"/>
    </font>
    <font>
      <b/>
      <sz val="10"/>
      <color rgb="FF00B050"/>
      <name val="Arial"/>
      <family val="2"/>
    </font>
    <font>
      <i/>
      <sz val="10"/>
      <color rgb="FF595959"/>
      <name val="Arial"/>
      <family val="2"/>
    </font>
    <font>
      <sz val="10"/>
      <color rgb="FF00B05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FFFFFF"/>
        <bgColor rgb="FFF2F2F2"/>
      </patternFill>
    </fill>
    <fill>
      <patternFill patternType="solid">
        <fgColor rgb="FFE50914"/>
        <bgColor rgb="FFFF0000"/>
      </patternFill>
    </fill>
    <fill>
      <patternFill patternType="solid">
        <fgColor rgb="FF141414"/>
        <bgColor rgb="FF000000"/>
      </patternFill>
    </fill>
    <fill>
      <patternFill patternType="solid">
        <fgColor rgb="FF595959"/>
        <bgColor rgb="FF404040"/>
      </patternFill>
    </fill>
    <fill>
      <patternFill patternType="solid">
        <fgColor rgb="FFF2F2F2"/>
        <bgColor rgb="FFE8F4E8"/>
      </patternFill>
    </fill>
    <fill>
      <patternFill patternType="solid">
        <fgColor rgb="FFE8F4E8"/>
        <bgColor rgb="FFF2F2F2"/>
      </patternFill>
    </fill>
    <fill>
      <patternFill patternType="solid">
        <fgColor rgb="FF404040"/>
        <bgColor rgb="FF333300"/>
      </patternFill>
    </fill>
    <fill>
      <patternFill patternType="solid">
        <fgColor rgb="FF00B050"/>
        <bgColor rgb="FF008080"/>
      </patternFill>
    </fill>
    <fill>
      <patternFill patternType="solid">
        <fgColor rgb="FF92D050"/>
        <bgColor rgb="FFC0C0C0"/>
      </patternFill>
    </fill>
    <fill>
      <patternFill patternType="solid">
        <fgColor rgb="FFFFFF00"/>
        <bgColor rgb="FFFFFF00"/>
      </patternFill>
    </fill>
    <fill>
      <patternFill patternType="solid">
        <fgColor rgb="FFFFC000"/>
        <bgColor rgb="FFC9A227"/>
      </patternFill>
    </fill>
    <fill>
      <patternFill patternType="solid">
        <fgColor rgb="FFFF0000"/>
        <bgColor rgb="FFE50914"/>
      </patternFill>
    </fill>
    <fill>
      <patternFill patternType="solid">
        <fgColor rgb="FFFF6666"/>
        <bgColor rgb="FFFF6600"/>
      </patternFill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92">
    <xf numFmtId="0" fontId="0" fillId="0" borderId="0" xfId="0"/>
    <xf numFmtId="0" fontId="15" fillId="8" borderId="0" xfId="0" applyFont="1" applyFill="1" applyAlignment="1">
      <alignment horizontal="left" vertical="center"/>
    </xf>
    <xf numFmtId="0" fontId="15" fillId="3" borderId="0" xfId="0" applyFont="1" applyFill="1" applyAlignment="1">
      <alignment horizontal="left" vertical="center"/>
    </xf>
    <xf numFmtId="0" fontId="14" fillId="4" borderId="0" xfId="0" applyFont="1" applyFill="1" applyAlignment="1">
      <alignment horizontal="left" vertical="center"/>
    </xf>
    <xf numFmtId="0" fontId="9" fillId="2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left" vertical="center"/>
    </xf>
    <xf numFmtId="0" fontId="7" fillId="2" borderId="0" xfId="0" applyFont="1" applyFill="1" applyAlignment="1">
      <alignment horizontal="left" vertical="center"/>
    </xf>
    <xf numFmtId="0" fontId="6" fillId="2" borderId="1" xfId="0" applyFont="1" applyFill="1" applyBorder="1" applyAlignment="1">
      <alignment horizontal="left" vertical="center"/>
    </xf>
    <xf numFmtId="0" fontId="5" fillId="4" borderId="0" xfId="0" applyFont="1" applyFill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1" fillId="3" borderId="0" xfId="0" applyFont="1" applyFill="1" applyAlignment="1">
      <alignment horizontal="left" vertical="center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4" fillId="4" borderId="0" xfId="0" applyFont="1" applyFill="1" applyAlignment="1">
      <alignment horizontal="left" vertical="center"/>
    </xf>
    <xf numFmtId="0" fontId="10" fillId="2" borderId="0" xfId="0" applyFont="1" applyFill="1" applyAlignment="1">
      <alignment horizontal="left" vertical="center"/>
    </xf>
    <xf numFmtId="0" fontId="11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0" fontId="13" fillId="2" borderId="0" xfId="0" applyFont="1" applyFill="1" applyAlignment="1">
      <alignment horizontal="left" vertical="center"/>
    </xf>
    <xf numFmtId="0" fontId="16" fillId="5" borderId="0" xfId="0" applyFont="1" applyFill="1" applyAlignment="1">
      <alignment horizontal="center" vertical="center"/>
    </xf>
    <xf numFmtId="0" fontId="17" fillId="6" borderId="0" xfId="0" applyFont="1" applyFill="1" applyAlignment="1">
      <alignment horizontal="left" vertical="center"/>
    </xf>
    <xf numFmtId="3" fontId="18" fillId="6" borderId="0" xfId="0" applyNumberFormat="1" applyFont="1" applyFill="1" applyAlignment="1">
      <alignment horizontal="right" vertical="center"/>
    </xf>
    <xf numFmtId="0" fontId="19" fillId="6" borderId="0" xfId="0" applyFont="1" applyFill="1" applyAlignment="1">
      <alignment horizontal="left" vertical="center"/>
    </xf>
    <xf numFmtId="0" fontId="17" fillId="0" borderId="0" xfId="0" applyFont="1" applyAlignment="1">
      <alignment horizontal="left" vertical="center"/>
    </xf>
    <xf numFmtId="3" fontId="18" fillId="0" borderId="0" xfId="0" applyNumberFormat="1" applyFont="1" applyAlignment="1">
      <alignment horizontal="right" vertical="center"/>
    </xf>
    <xf numFmtId="0" fontId="19" fillId="0" borderId="0" xfId="0" applyFont="1" applyAlignment="1">
      <alignment horizontal="left" vertical="center"/>
    </xf>
    <xf numFmtId="4" fontId="18" fillId="6" borderId="0" xfId="0" applyNumberFormat="1" applyFont="1" applyFill="1" applyAlignment="1">
      <alignment horizontal="right" vertical="center"/>
    </xf>
    <xf numFmtId="164" fontId="18" fillId="6" borderId="0" xfId="0" applyNumberFormat="1" applyFont="1" applyFill="1" applyAlignment="1">
      <alignment horizontal="right" vertical="center"/>
    </xf>
    <xf numFmtId="4" fontId="18" fillId="0" borderId="0" xfId="0" applyNumberFormat="1" applyFont="1" applyAlignment="1">
      <alignment horizontal="right" vertical="center"/>
    </xf>
    <xf numFmtId="0" fontId="17" fillId="6" borderId="0" xfId="0" applyFont="1" applyFill="1" applyAlignment="1">
      <alignment horizontal="right" vertical="center"/>
    </xf>
    <xf numFmtId="0" fontId="17" fillId="0" borderId="0" xfId="0" applyFont="1" applyAlignment="1">
      <alignment horizontal="right" vertical="center"/>
    </xf>
    <xf numFmtId="164" fontId="18" fillId="0" borderId="0" xfId="0" applyNumberFormat="1" applyFont="1" applyAlignment="1">
      <alignment horizontal="right" vertical="center"/>
    </xf>
    <xf numFmtId="165" fontId="18" fillId="6" borderId="0" xfId="0" applyNumberFormat="1" applyFont="1" applyFill="1" applyAlignment="1">
      <alignment horizontal="right" vertical="center"/>
    </xf>
    <xf numFmtId="0" fontId="20" fillId="7" borderId="0" xfId="0" applyFont="1" applyFill="1" applyAlignment="1">
      <alignment horizontal="left" vertical="center"/>
    </xf>
    <xf numFmtId="3" fontId="17" fillId="7" borderId="0" xfId="0" applyNumberFormat="1" applyFont="1" applyFill="1" applyAlignment="1">
      <alignment horizontal="right" vertical="center"/>
    </xf>
    <xf numFmtId="0" fontId="16" fillId="3" borderId="0" xfId="0" applyFont="1" applyFill="1" applyAlignment="1">
      <alignment horizontal="center" vertical="center"/>
    </xf>
    <xf numFmtId="3" fontId="20" fillId="7" borderId="0" xfId="0" applyNumberFormat="1" applyFont="1" applyFill="1" applyAlignment="1">
      <alignment horizontal="right" vertical="center"/>
    </xf>
    <xf numFmtId="3" fontId="17" fillId="6" borderId="0" xfId="0" applyNumberFormat="1" applyFont="1" applyFill="1" applyAlignment="1">
      <alignment horizontal="right" vertical="center"/>
    </xf>
    <xf numFmtId="3" fontId="17" fillId="0" borderId="0" xfId="0" applyNumberFormat="1" applyFont="1" applyAlignment="1">
      <alignment horizontal="right" vertical="center"/>
    </xf>
    <xf numFmtId="164" fontId="17" fillId="0" borderId="0" xfId="0" applyNumberFormat="1" applyFont="1" applyAlignment="1">
      <alignment horizontal="right" vertical="center"/>
    </xf>
    <xf numFmtId="0" fontId="0" fillId="6" borderId="0" xfId="0" applyFill="1"/>
    <xf numFmtId="0" fontId="21" fillId="6" borderId="0" xfId="0" applyFont="1" applyFill="1" applyAlignment="1">
      <alignment horizontal="left" vertical="center"/>
    </xf>
    <xf numFmtId="0" fontId="21" fillId="0" borderId="0" xfId="0" applyFont="1" applyAlignment="1">
      <alignment horizontal="left" vertical="center"/>
    </xf>
    <xf numFmtId="0" fontId="20" fillId="6" borderId="0" xfId="0" applyFont="1" applyFill="1" applyAlignment="1">
      <alignment horizontal="left" vertical="center"/>
    </xf>
    <xf numFmtId="3" fontId="22" fillId="6" borderId="0" xfId="0" applyNumberFormat="1" applyFont="1" applyFill="1" applyAlignment="1">
      <alignment horizontal="right" vertical="center"/>
    </xf>
    <xf numFmtId="0" fontId="20" fillId="0" borderId="0" xfId="0" applyFont="1" applyAlignment="1">
      <alignment horizontal="left" vertical="center"/>
    </xf>
    <xf numFmtId="3" fontId="23" fillId="0" borderId="0" xfId="0" applyNumberFormat="1" applyFont="1" applyAlignment="1">
      <alignment horizontal="right" vertical="center"/>
    </xf>
    <xf numFmtId="3" fontId="23" fillId="6" borderId="0" xfId="0" applyNumberFormat="1" applyFont="1" applyFill="1" applyAlignment="1">
      <alignment horizontal="right" vertical="center"/>
    </xf>
    <xf numFmtId="164" fontId="17" fillId="7" borderId="0" xfId="0" applyNumberFormat="1" applyFont="1" applyFill="1" applyAlignment="1">
      <alignment horizontal="right" vertical="center"/>
    </xf>
    <xf numFmtId="3" fontId="23" fillId="7" borderId="0" xfId="0" applyNumberFormat="1" applyFont="1" applyFill="1" applyAlignment="1">
      <alignment horizontal="right" vertical="center"/>
    </xf>
    <xf numFmtId="0" fontId="0" fillId="7" borderId="0" xfId="0" applyFill="1"/>
    <xf numFmtId="166" fontId="18" fillId="6" borderId="0" xfId="0" applyNumberFormat="1" applyFont="1" applyFill="1" applyAlignment="1">
      <alignment horizontal="right" vertical="center"/>
    </xf>
    <xf numFmtId="166" fontId="18" fillId="0" borderId="0" xfId="0" applyNumberFormat="1" applyFont="1" applyAlignment="1">
      <alignment horizontal="right" vertical="center"/>
    </xf>
    <xf numFmtId="166" fontId="17" fillId="7" borderId="0" xfId="0" applyNumberFormat="1" applyFont="1" applyFill="1" applyAlignment="1">
      <alignment horizontal="right" vertical="center"/>
    </xf>
    <xf numFmtId="164" fontId="0" fillId="6" borderId="0" xfId="0" applyNumberFormat="1" applyFill="1"/>
    <xf numFmtId="164" fontId="17" fillId="6" borderId="0" xfId="0" applyNumberFormat="1" applyFont="1" applyFill="1" applyAlignment="1">
      <alignment horizontal="right" vertical="center"/>
    </xf>
    <xf numFmtId="167" fontId="18" fillId="6" borderId="0" xfId="0" applyNumberFormat="1" applyFont="1" applyFill="1" applyAlignment="1">
      <alignment horizontal="right" vertical="center"/>
    </xf>
    <xf numFmtId="167" fontId="18" fillId="0" borderId="0" xfId="0" applyNumberFormat="1" applyFont="1" applyAlignment="1">
      <alignment horizontal="right" vertical="center"/>
    </xf>
    <xf numFmtId="167" fontId="17" fillId="7" borderId="0" xfId="0" applyNumberFormat="1" applyFont="1" applyFill="1" applyAlignment="1">
      <alignment horizontal="right" vertical="center"/>
    </xf>
    <xf numFmtId="0" fontId="24" fillId="6" borderId="0" xfId="0" applyFont="1" applyFill="1" applyAlignment="1">
      <alignment horizontal="left" vertical="center"/>
    </xf>
    <xf numFmtId="0" fontId="24" fillId="0" borderId="0" xfId="0" applyFont="1" applyAlignment="1">
      <alignment horizontal="left" vertical="center"/>
    </xf>
    <xf numFmtId="0" fontId="24" fillId="7" borderId="0" xfId="0" applyFont="1" applyFill="1" applyAlignment="1">
      <alignment horizontal="left" vertical="center"/>
    </xf>
    <xf numFmtId="3" fontId="25" fillId="6" borderId="0" xfId="0" applyNumberFormat="1" applyFont="1" applyFill="1" applyAlignment="1">
      <alignment horizontal="right" vertical="center"/>
    </xf>
    <xf numFmtId="3" fontId="25" fillId="0" borderId="0" xfId="0" applyNumberFormat="1" applyFont="1" applyAlignment="1">
      <alignment horizontal="right" vertical="center"/>
    </xf>
    <xf numFmtId="167" fontId="17" fillId="0" borderId="0" xfId="0" applyNumberFormat="1" applyFont="1" applyAlignment="1">
      <alignment horizontal="right" vertical="center"/>
    </xf>
    <xf numFmtId="49" fontId="23" fillId="0" borderId="0" xfId="0" applyNumberFormat="1" applyFont="1" applyAlignment="1">
      <alignment horizontal="right" vertical="center"/>
    </xf>
    <xf numFmtId="3" fontId="22" fillId="0" borderId="0" xfId="0" applyNumberFormat="1" applyFont="1" applyAlignment="1">
      <alignment horizontal="right" vertical="center"/>
    </xf>
    <xf numFmtId="49" fontId="23" fillId="6" borderId="0" xfId="0" applyNumberFormat="1" applyFont="1" applyFill="1" applyAlignment="1">
      <alignment horizontal="right" vertical="center"/>
    </xf>
    <xf numFmtId="49" fontId="22" fillId="6" borderId="0" xfId="0" applyNumberFormat="1" applyFont="1" applyFill="1" applyAlignment="1">
      <alignment horizontal="right" vertical="center"/>
    </xf>
    <xf numFmtId="0" fontId="17" fillId="6" borderId="0" xfId="0" applyFont="1" applyFill="1" applyAlignment="1">
      <alignment horizontal="center" vertical="center"/>
    </xf>
    <xf numFmtId="164" fontId="17" fillId="9" borderId="0" xfId="0" applyNumberFormat="1" applyFont="1" applyFill="1" applyAlignment="1">
      <alignment horizontal="center" vertical="center"/>
    </xf>
    <xf numFmtId="0" fontId="17" fillId="2" borderId="0" xfId="0" applyFont="1" applyFill="1" applyAlignment="1">
      <alignment horizontal="center" vertical="center"/>
    </xf>
    <xf numFmtId="164" fontId="17" fillId="10" borderId="0" xfId="0" applyNumberFormat="1" applyFont="1" applyFill="1" applyAlignment="1">
      <alignment horizontal="center" vertical="center"/>
    </xf>
    <xf numFmtId="164" fontId="17" fillId="11" borderId="0" xfId="0" applyNumberFormat="1" applyFont="1" applyFill="1" applyAlignment="1">
      <alignment horizontal="center" vertical="center"/>
    </xf>
    <xf numFmtId="164" fontId="20" fillId="11" borderId="0" xfId="0" applyNumberFormat="1" applyFont="1" applyFill="1" applyAlignment="1">
      <alignment horizontal="center" vertical="center"/>
    </xf>
    <xf numFmtId="164" fontId="20" fillId="10" borderId="0" xfId="0" applyNumberFormat="1" applyFont="1" applyFill="1" applyAlignment="1">
      <alignment horizontal="center" vertical="center"/>
    </xf>
    <xf numFmtId="164" fontId="20" fillId="9" borderId="0" xfId="0" applyNumberFormat="1" applyFont="1" applyFill="1" applyAlignment="1">
      <alignment horizontal="center" vertical="center"/>
    </xf>
    <xf numFmtId="164" fontId="17" fillId="12" borderId="0" xfId="0" applyNumberFormat="1" applyFont="1" applyFill="1" applyAlignment="1">
      <alignment horizontal="center" vertical="center"/>
    </xf>
    <xf numFmtId="164" fontId="17" fillId="13" borderId="0" xfId="0" applyNumberFormat="1" applyFont="1" applyFill="1" applyAlignment="1">
      <alignment horizontal="center" vertical="center"/>
    </xf>
    <xf numFmtId="167" fontId="17" fillId="14" borderId="0" xfId="0" applyNumberFormat="1" applyFont="1" applyFill="1" applyAlignment="1">
      <alignment horizontal="center" vertical="center"/>
    </xf>
    <xf numFmtId="167" fontId="17" fillId="12" borderId="0" xfId="0" applyNumberFormat="1" applyFont="1" applyFill="1" applyAlignment="1">
      <alignment horizontal="center" vertical="center"/>
    </xf>
    <xf numFmtId="167" fontId="17" fillId="10" borderId="0" xfId="0" applyNumberFormat="1" applyFont="1" applyFill="1" applyAlignment="1">
      <alignment horizontal="center" vertical="center"/>
    </xf>
    <xf numFmtId="167" fontId="17" fillId="9" borderId="0" xfId="0" applyNumberFormat="1" applyFont="1" applyFill="1" applyAlignment="1">
      <alignment horizontal="center" vertical="center"/>
    </xf>
    <xf numFmtId="167" fontId="20" fillId="10" borderId="0" xfId="0" applyNumberFormat="1" applyFont="1" applyFill="1" applyAlignment="1">
      <alignment horizontal="center" vertical="center"/>
    </xf>
    <xf numFmtId="167" fontId="20" fillId="9" borderId="0" xfId="0" applyNumberFormat="1" applyFont="1" applyFill="1" applyAlignment="1">
      <alignment horizontal="center" vertical="center"/>
    </xf>
    <xf numFmtId="0" fontId="0" fillId="11" borderId="0" xfId="0" applyFill="1"/>
    <xf numFmtId="0" fontId="8" fillId="0" borderId="0" xfId="0" applyFont="1" applyAlignment="1">
      <alignment horizontal="left" vertical="center"/>
    </xf>
    <xf numFmtId="0" fontId="0" fillId="10" borderId="0" xfId="0" applyFill="1"/>
    <xf numFmtId="0" fontId="0" fillId="9" borderId="0" xfId="0" applyFill="1"/>
    <xf numFmtId="0" fontId="0" fillId="12" borderId="0" xfId="0" applyFill="1"/>
    <xf numFmtId="0" fontId="0" fillId="14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7030A0"/>
      <rgbColor rgb="FFF2F2F2"/>
      <rgbColor rgb="FFE8F4E8"/>
      <rgbColor rgb="FF660066"/>
      <rgbColor rgb="FFFF6666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E0E0"/>
      <rgbColor rgb="FF3366FF"/>
      <rgbColor rgb="FF33CCCC"/>
      <rgbColor rgb="FF92D050"/>
      <rgbColor rgb="FFFFC000"/>
      <rgbColor rgb="FFC9A227"/>
      <rgbColor rgb="FFFF6600"/>
      <rgbColor rgb="FF595959"/>
      <rgbColor rgb="FF969696"/>
      <rgbColor rgb="FF003366"/>
      <rgbColor rgb="FF00B050"/>
      <rgbColor rgb="FF141414"/>
      <rgbColor rgb="FF333300"/>
      <rgbColor rgb="FFE50914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E50914"/>
  </sheetPr>
  <dimension ref="A1:S59"/>
  <sheetViews>
    <sheetView showGridLines="0" tabSelected="1" zoomScaleNormal="100" workbookViewId="0"/>
  </sheetViews>
  <sheetFormatPr baseColWidth="10" defaultColWidth="8.6640625" defaultRowHeight="15" x14ac:dyDescent="0.2"/>
  <cols>
    <col min="1" max="1" width="4" customWidth="1"/>
    <col min="2" max="17" width="9" customWidth="1"/>
  </cols>
  <sheetData>
    <row r="1" spans="1:19" ht="12" customHeight="1" x14ac:dyDescent="0.2">
      <c r="A1" s="12"/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</row>
    <row r="2" spans="1:19" ht="15" customHeight="1" x14ac:dyDescent="0.2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</row>
    <row r="3" spans="1:19" ht="21.75" customHeight="1" x14ac:dyDescent="0.2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</row>
    <row r="4" spans="1:19" ht="21.75" customHeight="1" x14ac:dyDescent="0.2">
      <c r="A4" s="13"/>
      <c r="B4" s="11" t="s">
        <v>0</v>
      </c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3"/>
    </row>
    <row r="5" spans="1:19" ht="21.75" customHeight="1" x14ac:dyDescent="0.2">
      <c r="A5" s="13"/>
      <c r="B5" s="10" t="s">
        <v>1</v>
      </c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3"/>
    </row>
    <row r="6" spans="1:19" ht="21.75" customHeight="1" x14ac:dyDescent="0.2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</row>
    <row r="7" spans="1:19" ht="21.75" customHeight="1" x14ac:dyDescent="0.2">
      <c r="A7" s="13"/>
      <c r="B7" s="9" t="s">
        <v>2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13"/>
    </row>
    <row r="8" spans="1:19" ht="21.75" customHeight="1" x14ac:dyDescent="0.2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</row>
    <row r="9" spans="1:19" ht="18" customHeight="1" x14ac:dyDescent="0.2">
      <c r="A9" s="14"/>
      <c r="B9" s="15" t="s">
        <v>3</v>
      </c>
      <c r="C9" s="14"/>
      <c r="D9" s="14"/>
      <c r="E9" s="8" t="s">
        <v>4</v>
      </c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14"/>
    </row>
    <row r="10" spans="1:19" ht="18" customHeight="1" x14ac:dyDescent="0.2">
      <c r="A10" s="14"/>
      <c r="B10" s="15" t="s">
        <v>5</v>
      </c>
      <c r="C10" s="14"/>
      <c r="D10" s="14"/>
      <c r="E10" s="8" t="s">
        <v>6</v>
      </c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14"/>
    </row>
    <row r="11" spans="1:19" ht="18" customHeight="1" x14ac:dyDescent="0.2">
      <c r="A11" s="14"/>
      <c r="B11" s="15" t="s">
        <v>7</v>
      </c>
      <c r="C11" s="14"/>
      <c r="D11" s="14"/>
      <c r="E11" s="8" t="s">
        <v>8</v>
      </c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14"/>
    </row>
    <row r="12" spans="1:19" ht="15" customHeight="1" x14ac:dyDescent="0.2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</row>
    <row r="13" spans="1:19" ht="7.5" customHeight="1" x14ac:dyDescent="0.2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</row>
    <row r="14" spans="1:19" ht="15.75" customHeight="1" x14ac:dyDescent="0.2">
      <c r="A14" s="12"/>
      <c r="B14" s="7" t="s">
        <v>9</v>
      </c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12"/>
    </row>
    <row r="15" spans="1:19" ht="15.75" customHeight="1" x14ac:dyDescent="0.2">
      <c r="A15" s="12"/>
      <c r="B15" s="6" t="s">
        <v>10</v>
      </c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12"/>
    </row>
    <row r="16" spans="1:19" ht="15.75" customHeight="1" x14ac:dyDescent="0.2">
      <c r="A16" s="12"/>
      <c r="B16" s="5" t="s">
        <v>11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12"/>
    </row>
    <row r="17" spans="1:19" ht="15.75" customHeight="1" x14ac:dyDescent="0.2">
      <c r="A17" s="12"/>
      <c r="B17" s="5" t="s">
        <v>12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12"/>
    </row>
    <row r="18" spans="1:19" ht="15.75" customHeight="1" x14ac:dyDescent="0.2">
      <c r="A18" s="12"/>
      <c r="B18" s="5" t="s">
        <v>13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12"/>
    </row>
    <row r="19" spans="1:19" ht="15.75" customHeight="1" x14ac:dyDescent="0.2">
      <c r="A19" s="12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12"/>
    </row>
    <row r="20" spans="1:19" ht="15.75" customHeight="1" x14ac:dyDescent="0.2">
      <c r="A20" s="12"/>
      <c r="B20" s="6" t="s">
        <v>14</v>
      </c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12"/>
    </row>
    <row r="21" spans="1:19" ht="15.75" customHeight="1" x14ac:dyDescent="0.2">
      <c r="A21" s="12"/>
      <c r="B21" s="5" t="s">
        <v>15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12"/>
    </row>
    <row r="22" spans="1:19" ht="15.75" customHeight="1" x14ac:dyDescent="0.2">
      <c r="A22" s="12"/>
      <c r="B22" s="5" t="s">
        <v>16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12"/>
    </row>
    <row r="23" spans="1:19" ht="15.75" customHeight="1" x14ac:dyDescent="0.2">
      <c r="A23" s="12"/>
      <c r="B23" s="5" t="s">
        <v>17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12"/>
    </row>
    <row r="24" spans="1:19" ht="15.75" customHeight="1" x14ac:dyDescent="0.2">
      <c r="A24" s="12"/>
      <c r="B24" s="5" t="s">
        <v>18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12"/>
    </row>
    <row r="25" spans="1:19" ht="15.75" customHeight="1" x14ac:dyDescent="0.2">
      <c r="A25" s="12"/>
      <c r="B25" s="5" t="s">
        <v>19</v>
      </c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12"/>
    </row>
    <row r="26" spans="1:19" ht="15.75" customHeight="1" x14ac:dyDescent="0.2">
      <c r="A26" s="12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12"/>
    </row>
    <row r="27" spans="1:19" ht="15.75" customHeight="1" x14ac:dyDescent="0.2">
      <c r="A27" s="12"/>
      <c r="B27" s="6" t="s">
        <v>20</v>
      </c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12"/>
    </row>
    <row r="28" spans="1:19" ht="15.75" customHeight="1" x14ac:dyDescent="0.2">
      <c r="A28" s="12"/>
      <c r="B28" s="5" t="s">
        <v>21</v>
      </c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12"/>
    </row>
    <row r="29" spans="1:19" ht="15.75" customHeight="1" x14ac:dyDescent="0.2">
      <c r="A29" s="12"/>
      <c r="B29" s="5" t="s">
        <v>22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12"/>
    </row>
    <row r="30" spans="1:19" ht="15.75" customHeight="1" x14ac:dyDescent="0.2">
      <c r="A30" s="12"/>
      <c r="B30" s="5" t="s">
        <v>23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12"/>
    </row>
    <row r="31" spans="1:19" ht="15.75" customHeight="1" x14ac:dyDescent="0.2">
      <c r="A31" s="12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12"/>
    </row>
    <row r="32" spans="1:19" ht="15.75" customHeight="1" x14ac:dyDescent="0.2">
      <c r="A32" s="12"/>
      <c r="B32" s="6" t="s">
        <v>24</v>
      </c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12"/>
    </row>
    <row r="33" spans="1:19" ht="15.75" customHeight="1" x14ac:dyDescent="0.2">
      <c r="A33" s="12"/>
      <c r="B33" s="5" t="s">
        <v>25</v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12"/>
    </row>
    <row r="34" spans="1:19" ht="15.75" customHeight="1" x14ac:dyDescent="0.2">
      <c r="A34" s="12"/>
      <c r="B34" s="5" t="s">
        <v>26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12"/>
    </row>
    <row r="35" spans="1:19" ht="15.75" customHeight="1" x14ac:dyDescent="0.2">
      <c r="A35" s="12"/>
      <c r="B35" s="5" t="s">
        <v>27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12"/>
    </row>
    <row r="36" spans="1:19" ht="15" customHeight="1" x14ac:dyDescent="0.2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</row>
    <row r="37" spans="1:19" ht="7.5" customHeight="1" x14ac:dyDescent="0.2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</row>
    <row r="38" spans="1:19" ht="15" customHeight="1" x14ac:dyDescent="0.2">
      <c r="A38" s="12"/>
      <c r="B38" s="4" t="s">
        <v>28</v>
      </c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12"/>
    </row>
    <row r="39" spans="1:19" ht="15.75" customHeight="1" x14ac:dyDescent="0.2">
      <c r="A39" s="12"/>
      <c r="B39" s="16" t="s">
        <v>29</v>
      </c>
      <c r="C39" s="5" t="s">
        <v>30</v>
      </c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12"/>
    </row>
    <row r="40" spans="1:19" ht="15.75" customHeight="1" x14ac:dyDescent="0.2">
      <c r="A40" s="12"/>
      <c r="B40" s="17" t="s">
        <v>29</v>
      </c>
      <c r="C40" s="5" t="s">
        <v>31</v>
      </c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12"/>
    </row>
    <row r="41" spans="1:19" ht="15.75" customHeight="1" x14ac:dyDescent="0.2">
      <c r="A41" s="12"/>
      <c r="B41" s="18" t="s">
        <v>29</v>
      </c>
      <c r="C41" s="5" t="s">
        <v>32</v>
      </c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12"/>
    </row>
    <row r="42" spans="1:19" ht="15.75" customHeight="1" x14ac:dyDescent="0.2">
      <c r="A42" s="12"/>
      <c r="B42" s="19" t="s">
        <v>29</v>
      </c>
      <c r="C42" s="5" t="s">
        <v>33</v>
      </c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12"/>
    </row>
    <row r="43" spans="1:19" ht="15" customHeight="1" x14ac:dyDescent="0.2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</row>
    <row r="44" spans="1:19" ht="15" customHeight="1" x14ac:dyDescent="0.2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</row>
    <row r="45" spans="1:19" ht="15" customHeight="1" x14ac:dyDescent="0.2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</row>
    <row r="46" spans="1:19" ht="15" customHeight="1" x14ac:dyDescent="0.2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</row>
    <row r="47" spans="1:19" ht="15" customHeight="1" x14ac:dyDescent="0.2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</row>
    <row r="48" spans="1:19" ht="15" customHeight="1" x14ac:dyDescent="0.2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</row>
    <row r="49" spans="1:19" ht="15" customHeight="1" x14ac:dyDescent="0.2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</row>
    <row r="50" spans="1:19" ht="15" customHeight="1" x14ac:dyDescent="0.2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</row>
    <row r="51" spans="1:19" ht="15" customHeight="1" x14ac:dyDescent="0.2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</row>
    <row r="52" spans="1:19" ht="15" customHeight="1" x14ac:dyDescent="0.2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</row>
    <row r="53" spans="1:19" ht="15" customHeight="1" x14ac:dyDescent="0.2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</row>
    <row r="54" spans="1:19" ht="15" customHeight="1" x14ac:dyDescent="0.2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</row>
    <row r="55" spans="1:19" ht="15" customHeight="1" x14ac:dyDescent="0.2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</row>
    <row r="56" spans="1:19" ht="15" customHeight="1" x14ac:dyDescent="0.2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</row>
    <row r="57" spans="1:19" ht="15" customHeight="1" x14ac:dyDescent="0.2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</row>
    <row r="58" spans="1:19" ht="15" customHeight="1" x14ac:dyDescent="0.2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</row>
    <row r="59" spans="1:19" ht="15" customHeight="1" x14ac:dyDescent="0.2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</row>
  </sheetData>
  <mergeCells count="33">
    <mergeCell ref="C40:R40"/>
    <mergeCell ref="C41:R41"/>
    <mergeCell ref="C42:R42"/>
    <mergeCell ref="B33:R33"/>
    <mergeCell ref="B34:R34"/>
    <mergeCell ref="B35:R35"/>
    <mergeCell ref="B38:R38"/>
    <mergeCell ref="C39:R39"/>
    <mergeCell ref="B28:R28"/>
    <mergeCell ref="B29:R29"/>
    <mergeCell ref="B30:R30"/>
    <mergeCell ref="B31:R31"/>
    <mergeCell ref="B32:R32"/>
    <mergeCell ref="B23:R23"/>
    <mergeCell ref="B24:R24"/>
    <mergeCell ref="B25:R25"/>
    <mergeCell ref="B26:R26"/>
    <mergeCell ref="B27:R27"/>
    <mergeCell ref="B18:R18"/>
    <mergeCell ref="B19:R19"/>
    <mergeCell ref="B20:R20"/>
    <mergeCell ref="B21:R21"/>
    <mergeCell ref="B22:R22"/>
    <mergeCell ref="E11:R11"/>
    <mergeCell ref="B14:R14"/>
    <mergeCell ref="B15:R15"/>
    <mergeCell ref="B16:R16"/>
    <mergeCell ref="B17:R17"/>
    <mergeCell ref="B4:R4"/>
    <mergeCell ref="B5:R5"/>
    <mergeCell ref="B7:R7"/>
    <mergeCell ref="E9:R9"/>
    <mergeCell ref="E10:R10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41414"/>
  </sheetPr>
  <dimension ref="B1:F41"/>
  <sheetViews>
    <sheetView showGridLines="0" zoomScaleNormal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/>
    </sheetView>
  </sheetViews>
  <sheetFormatPr baseColWidth="10" defaultColWidth="8.6640625" defaultRowHeight="15" x14ac:dyDescent="0.2"/>
  <cols>
    <col min="1" max="1" width="2" customWidth="1"/>
    <col min="2" max="2" width="38" customWidth="1"/>
    <col min="3" max="5" width="18" customWidth="1"/>
    <col min="6" max="6" width="22" customWidth="1"/>
  </cols>
  <sheetData>
    <row r="1" spans="2:6" ht="24" customHeight="1" x14ac:dyDescent="0.2">
      <c r="B1" s="3" t="s">
        <v>34</v>
      </c>
      <c r="C1" s="3"/>
      <c r="D1" s="3"/>
      <c r="E1" s="3"/>
      <c r="F1" s="3"/>
    </row>
    <row r="2" spans="2:6" ht="7.5" customHeight="1" x14ac:dyDescent="0.2"/>
    <row r="3" spans="2:6" ht="15" customHeight="1" x14ac:dyDescent="0.2">
      <c r="B3" s="2" t="s">
        <v>35</v>
      </c>
      <c r="C3" s="2"/>
      <c r="D3" s="2"/>
      <c r="E3" s="2"/>
      <c r="F3" s="2"/>
    </row>
    <row r="4" spans="2:6" ht="15" customHeight="1" x14ac:dyDescent="0.2">
      <c r="B4" s="20" t="s">
        <v>36</v>
      </c>
      <c r="C4" s="20" t="s">
        <v>37</v>
      </c>
      <c r="D4" s="20" t="s">
        <v>38</v>
      </c>
      <c r="E4" s="20" t="s">
        <v>39</v>
      </c>
    </row>
    <row r="5" spans="2:6" ht="15.75" customHeight="1" x14ac:dyDescent="0.2">
      <c r="B5" s="21" t="s">
        <v>40</v>
      </c>
      <c r="C5" s="22">
        <v>45183</v>
      </c>
      <c r="D5" s="22">
        <v>51200</v>
      </c>
      <c r="E5" s="23" t="s">
        <v>41</v>
      </c>
    </row>
    <row r="6" spans="2:6" ht="15.75" customHeight="1" x14ac:dyDescent="0.2">
      <c r="B6" s="24" t="s">
        <v>42</v>
      </c>
      <c r="C6" s="25">
        <v>325</v>
      </c>
      <c r="D6" s="25">
        <v>340</v>
      </c>
      <c r="E6" s="26" t="s">
        <v>43</v>
      </c>
    </row>
    <row r="7" spans="2:6" ht="15.75" customHeight="1" x14ac:dyDescent="0.2">
      <c r="B7" s="21" t="s">
        <v>44</v>
      </c>
      <c r="C7" s="27">
        <v>16.64</v>
      </c>
      <c r="D7" s="27">
        <v>17.100000000000001</v>
      </c>
      <c r="E7" s="23" t="s">
        <v>43</v>
      </c>
    </row>
    <row r="8" spans="2:6" ht="15.75" customHeight="1" x14ac:dyDescent="0.2">
      <c r="B8" s="24" t="s">
        <v>45</v>
      </c>
      <c r="C8" s="25">
        <v>1500</v>
      </c>
      <c r="D8" s="25">
        <v>3000</v>
      </c>
      <c r="E8" s="26" t="s">
        <v>46</v>
      </c>
    </row>
    <row r="9" spans="2:6" ht="15.75" customHeight="1" x14ac:dyDescent="0.2">
      <c r="B9" s="21" t="s">
        <v>47</v>
      </c>
      <c r="C9" s="22">
        <v>17100</v>
      </c>
      <c r="D9" s="22">
        <v>20000</v>
      </c>
      <c r="E9" s="23" t="s">
        <v>48</v>
      </c>
    </row>
    <row r="10" spans="2:6" ht="15.75" customHeight="1" x14ac:dyDescent="0.2">
      <c r="B10" s="24" t="s">
        <v>49</v>
      </c>
      <c r="C10" s="25">
        <v>10247</v>
      </c>
      <c r="D10" s="25">
        <v>15620</v>
      </c>
      <c r="E10" s="26" t="s">
        <v>50</v>
      </c>
    </row>
    <row r="11" spans="2:6" ht="15.75" customHeight="1" x14ac:dyDescent="0.2">
      <c r="B11" s="21" t="s">
        <v>51</v>
      </c>
      <c r="C11" s="28">
        <v>0.22700000000000001</v>
      </c>
      <c r="D11" s="28">
        <v>0.30499999999999999</v>
      </c>
      <c r="E11" s="23" t="s">
        <v>50</v>
      </c>
    </row>
    <row r="12" spans="2:6" ht="15.75" customHeight="1" x14ac:dyDescent="0.2">
      <c r="B12" s="24" t="s">
        <v>52</v>
      </c>
      <c r="C12" s="25">
        <v>10980</v>
      </c>
      <c r="D12" s="25">
        <v>13100</v>
      </c>
      <c r="E12" s="26" t="s">
        <v>41</v>
      </c>
    </row>
    <row r="13" spans="2:6" ht="15.75" customHeight="1" x14ac:dyDescent="0.2">
      <c r="B13" s="21" t="s">
        <v>53</v>
      </c>
      <c r="C13" s="22">
        <v>74.8</v>
      </c>
      <c r="D13" s="22">
        <v>100</v>
      </c>
      <c r="E13" s="23" t="s">
        <v>54</v>
      </c>
    </row>
    <row r="14" spans="2:6" ht="15.75" customHeight="1" x14ac:dyDescent="0.2">
      <c r="B14" s="24" t="s">
        <v>55</v>
      </c>
      <c r="C14" s="29">
        <v>2</v>
      </c>
      <c r="D14" s="29">
        <v>2.1</v>
      </c>
      <c r="E14" s="26" t="s">
        <v>56</v>
      </c>
    </row>
    <row r="15" spans="2:6" ht="7.5" customHeight="1" x14ac:dyDescent="0.2"/>
    <row r="16" spans="2:6" ht="15" customHeight="1" x14ac:dyDescent="0.2">
      <c r="B16" s="2" t="s">
        <v>57</v>
      </c>
      <c r="C16" s="2"/>
      <c r="D16" s="2"/>
      <c r="E16" s="2"/>
      <c r="F16" s="2"/>
    </row>
    <row r="17" spans="2:6" ht="15" customHeight="1" x14ac:dyDescent="0.2">
      <c r="B17" s="20" t="s">
        <v>58</v>
      </c>
      <c r="C17" s="20" t="s">
        <v>59</v>
      </c>
      <c r="D17" s="20" t="s">
        <v>60</v>
      </c>
      <c r="E17" s="20" t="s">
        <v>61</v>
      </c>
      <c r="F17" s="20" t="s">
        <v>62</v>
      </c>
    </row>
    <row r="18" spans="2:6" ht="15.75" customHeight="1" x14ac:dyDescent="0.2">
      <c r="B18" s="21" t="s">
        <v>63</v>
      </c>
      <c r="C18" s="22">
        <v>4000</v>
      </c>
      <c r="D18" s="30" t="s">
        <v>64</v>
      </c>
      <c r="E18" s="30" t="s">
        <v>65</v>
      </c>
      <c r="F18" s="30" t="s">
        <v>66</v>
      </c>
    </row>
    <row r="19" spans="2:6" ht="15.75" customHeight="1" x14ac:dyDescent="0.2">
      <c r="B19" s="24" t="s">
        <v>67</v>
      </c>
      <c r="C19" s="25">
        <v>6500</v>
      </c>
      <c r="D19" s="31" t="s">
        <v>68</v>
      </c>
      <c r="E19" s="31" t="s">
        <v>69</v>
      </c>
      <c r="F19" s="31" t="s">
        <v>70</v>
      </c>
    </row>
    <row r="20" spans="2:6" ht="15.75" customHeight="1" x14ac:dyDescent="0.2">
      <c r="B20" s="21" t="s">
        <v>71</v>
      </c>
      <c r="C20" s="22">
        <v>10000</v>
      </c>
      <c r="D20" s="30" t="s">
        <v>72</v>
      </c>
      <c r="E20" s="30" t="s">
        <v>73</v>
      </c>
      <c r="F20" s="30" t="s">
        <v>74</v>
      </c>
    </row>
    <row r="21" spans="2:6" ht="7.5" customHeight="1" x14ac:dyDescent="0.2"/>
    <row r="22" spans="2:6" ht="15" customHeight="1" x14ac:dyDescent="0.2">
      <c r="B22" s="2" t="s">
        <v>75</v>
      </c>
      <c r="C22" s="2"/>
      <c r="D22" s="2"/>
      <c r="E22" s="2"/>
      <c r="F22" s="2"/>
    </row>
    <row r="23" spans="2:6" ht="15" customHeight="1" x14ac:dyDescent="0.2">
      <c r="B23" s="20" t="s">
        <v>76</v>
      </c>
      <c r="C23" s="20" t="s">
        <v>77</v>
      </c>
      <c r="D23" s="20" t="s">
        <v>78</v>
      </c>
      <c r="E23" s="20" t="s">
        <v>79</v>
      </c>
      <c r="F23" s="20" t="s">
        <v>80</v>
      </c>
    </row>
    <row r="24" spans="2:6" ht="15.75" customHeight="1" x14ac:dyDescent="0.2">
      <c r="B24" s="21" t="s">
        <v>81</v>
      </c>
      <c r="C24" s="28">
        <v>0.13</v>
      </c>
      <c r="D24" s="28">
        <v>0.12</v>
      </c>
      <c r="E24" s="28">
        <v>0.11</v>
      </c>
      <c r="F24" s="28">
        <v>0.1</v>
      </c>
    </row>
    <row r="25" spans="2:6" ht="15.75" customHeight="1" x14ac:dyDescent="0.2">
      <c r="B25" s="24" t="s">
        <v>82</v>
      </c>
      <c r="C25" s="32">
        <v>0.45</v>
      </c>
      <c r="D25" s="32">
        <v>0.4</v>
      </c>
      <c r="E25" s="32">
        <v>0.35</v>
      </c>
      <c r="F25" s="32">
        <v>0.3</v>
      </c>
    </row>
    <row r="26" spans="2:6" ht="15.75" customHeight="1" x14ac:dyDescent="0.2">
      <c r="B26" s="21" t="s">
        <v>83</v>
      </c>
      <c r="C26" s="28">
        <v>0.9</v>
      </c>
      <c r="D26" s="28">
        <v>0.6</v>
      </c>
      <c r="E26" s="28">
        <v>0.4</v>
      </c>
      <c r="F26" s="28">
        <v>0.3</v>
      </c>
    </row>
    <row r="27" spans="2:6" ht="15.75" customHeight="1" x14ac:dyDescent="0.2">
      <c r="B27" s="24" t="s">
        <v>84</v>
      </c>
      <c r="C27" s="32">
        <v>0.2</v>
      </c>
      <c r="D27" s="32">
        <v>0.22</v>
      </c>
      <c r="E27" s="32">
        <v>0.2</v>
      </c>
      <c r="F27" s="32">
        <v>0.18</v>
      </c>
    </row>
    <row r="28" spans="2:6" ht="15.75" customHeight="1" x14ac:dyDescent="0.2">
      <c r="B28" s="21" t="s">
        <v>85</v>
      </c>
      <c r="C28" s="33">
        <v>3</v>
      </c>
      <c r="D28" s="33">
        <v>5</v>
      </c>
      <c r="E28" s="33">
        <v>6.5</v>
      </c>
      <c r="F28" s="33">
        <v>5</v>
      </c>
    </row>
    <row r="29" spans="2:6" ht="15.75" customHeight="1" x14ac:dyDescent="0.2">
      <c r="B29" s="24" t="s">
        <v>86</v>
      </c>
      <c r="C29" s="32">
        <v>25</v>
      </c>
      <c r="D29" s="32">
        <v>40</v>
      </c>
      <c r="E29" s="32">
        <v>50</v>
      </c>
      <c r="F29" s="25">
        <v>45</v>
      </c>
    </row>
    <row r="30" spans="2:6" ht="7.5" customHeight="1" x14ac:dyDescent="0.2"/>
    <row r="31" spans="2:6" ht="15" customHeight="1" x14ac:dyDescent="0.2">
      <c r="B31" s="2" t="s">
        <v>87</v>
      </c>
      <c r="C31" s="2"/>
      <c r="D31" s="2"/>
      <c r="E31" s="2"/>
      <c r="F31" s="2"/>
    </row>
    <row r="32" spans="2:6" ht="15" customHeight="1" x14ac:dyDescent="0.2">
      <c r="B32" s="20" t="s">
        <v>88</v>
      </c>
      <c r="C32" s="20" t="s">
        <v>89</v>
      </c>
      <c r="D32" s="20" t="s">
        <v>90</v>
      </c>
      <c r="E32" s="20" t="s">
        <v>91</v>
      </c>
      <c r="F32" s="20" t="s">
        <v>92</v>
      </c>
    </row>
    <row r="33" spans="2:6" ht="15.75" customHeight="1" x14ac:dyDescent="0.2">
      <c r="B33" s="21" t="s">
        <v>93</v>
      </c>
      <c r="C33" s="22">
        <v>150</v>
      </c>
      <c r="D33" s="22">
        <v>300</v>
      </c>
      <c r="E33" s="22">
        <v>450</v>
      </c>
      <c r="F33" s="22">
        <v>500</v>
      </c>
    </row>
    <row r="34" spans="2:6" ht="15.75" customHeight="1" x14ac:dyDescent="0.2">
      <c r="B34" s="24" t="s">
        <v>94</v>
      </c>
      <c r="C34" s="25">
        <v>50</v>
      </c>
      <c r="D34" s="25">
        <v>120</v>
      </c>
      <c r="E34" s="25">
        <v>200</v>
      </c>
      <c r="F34" s="25">
        <v>220</v>
      </c>
    </row>
    <row r="35" spans="2:6" ht="15.75" customHeight="1" x14ac:dyDescent="0.2">
      <c r="B35" s="21" t="s">
        <v>95</v>
      </c>
      <c r="C35" s="22">
        <v>30</v>
      </c>
      <c r="D35" s="22">
        <v>80</v>
      </c>
      <c r="E35" s="22">
        <v>130</v>
      </c>
      <c r="F35" s="22">
        <v>150</v>
      </c>
    </row>
    <row r="36" spans="2:6" ht="15.75" customHeight="1" x14ac:dyDescent="0.2">
      <c r="B36" s="24" t="s">
        <v>96</v>
      </c>
      <c r="C36" s="25">
        <v>100</v>
      </c>
      <c r="D36" s="25">
        <v>200</v>
      </c>
      <c r="E36" s="25">
        <v>300</v>
      </c>
      <c r="F36" s="25">
        <v>350</v>
      </c>
    </row>
    <row r="37" spans="2:6" ht="15.75" customHeight="1" x14ac:dyDescent="0.2">
      <c r="B37" s="21" t="s">
        <v>97</v>
      </c>
      <c r="C37" s="22">
        <v>80</v>
      </c>
      <c r="D37" s="22">
        <v>200</v>
      </c>
      <c r="E37" s="22">
        <v>400</v>
      </c>
      <c r="F37" s="22">
        <v>600</v>
      </c>
    </row>
    <row r="38" spans="2:6" ht="15.75" customHeight="1" x14ac:dyDescent="0.2">
      <c r="B38" s="24" t="s">
        <v>98</v>
      </c>
      <c r="C38" s="25">
        <v>40</v>
      </c>
      <c r="D38" s="25">
        <v>90</v>
      </c>
      <c r="E38" s="25">
        <v>150</v>
      </c>
      <c r="F38" s="25">
        <v>180</v>
      </c>
    </row>
    <row r="39" spans="2:6" ht="15.75" customHeight="1" x14ac:dyDescent="0.2">
      <c r="B39" s="34" t="s">
        <v>99</v>
      </c>
      <c r="C39" s="35">
        <f>SUM(D33:D38)</f>
        <v>990</v>
      </c>
      <c r="D39" s="35">
        <f>SUM(E33:E38)</f>
        <v>1630</v>
      </c>
      <c r="E39" s="35">
        <f>SUM(F33:F38)</f>
        <v>2000</v>
      </c>
      <c r="F39" s="35">
        <f>SUM(G33:G38)</f>
        <v>0</v>
      </c>
    </row>
    <row r="40" spans="2:6" ht="15.75" customHeight="1" x14ac:dyDescent="0.2">
      <c r="B40" s="24" t="s">
        <v>100</v>
      </c>
      <c r="C40" s="25">
        <v>300</v>
      </c>
      <c r="D40" s="25">
        <v>200</v>
      </c>
      <c r="E40" s="25">
        <v>100</v>
      </c>
      <c r="F40" s="25">
        <v>0</v>
      </c>
    </row>
    <row r="41" spans="2:6" ht="15.75" customHeight="1" x14ac:dyDescent="0.2">
      <c r="B41" s="34" t="s">
        <v>101</v>
      </c>
      <c r="C41" s="35">
        <f>C39+C40</f>
        <v>1290</v>
      </c>
      <c r="D41" s="35">
        <f>D39+D40</f>
        <v>1830</v>
      </c>
      <c r="E41" s="35">
        <f>E39+E40</f>
        <v>2100</v>
      </c>
      <c r="F41" s="35">
        <f>F39+F40</f>
        <v>0</v>
      </c>
    </row>
  </sheetData>
  <mergeCells count="5">
    <mergeCell ref="B1:F1"/>
    <mergeCell ref="B3:F3"/>
    <mergeCell ref="B16:F16"/>
    <mergeCell ref="B22:F22"/>
    <mergeCell ref="B31:F3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404040"/>
  </sheetPr>
  <dimension ref="B1:H25"/>
  <sheetViews>
    <sheetView showGridLines="0" zoomScaleNormal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/>
    </sheetView>
  </sheetViews>
  <sheetFormatPr baseColWidth="10" defaultColWidth="8.6640625" defaultRowHeight="15" x14ac:dyDescent="0.2"/>
  <cols>
    <col min="1" max="1" width="2" customWidth="1"/>
    <col min="2" max="2" width="36" customWidth="1"/>
    <col min="3" max="8" width="14" customWidth="1"/>
  </cols>
  <sheetData>
    <row r="1" spans="2:8" ht="24" customHeight="1" x14ac:dyDescent="0.2">
      <c r="B1" s="3" t="s">
        <v>102</v>
      </c>
      <c r="C1" s="3"/>
      <c r="D1" s="3"/>
      <c r="E1" s="3"/>
      <c r="F1" s="3"/>
      <c r="G1" s="3"/>
      <c r="H1" s="3"/>
    </row>
    <row r="2" spans="2:8" ht="7.5" customHeight="1" x14ac:dyDescent="0.2"/>
    <row r="3" spans="2:8" ht="15" customHeight="1" x14ac:dyDescent="0.2">
      <c r="C3" s="20" t="s">
        <v>103</v>
      </c>
      <c r="D3" s="20" t="s">
        <v>104</v>
      </c>
      <c r="E3" s="20" t="s">
        <v>105</v>
      </c>
      <c r="F3" s="36" t="s">
        <v>38</v>
      </c>
      <c r="G3" s="36" t="s">
        <v>106</v>
      </c>
      <c r="H3" s="36" t="s">
        <v>107</v>
      </c>
    </row>
    <row r="4" spans="2:8" ht="15" customHeight="1" x14ac:dyDescent="0.2">
      <c r="B4" s="1" t="s">
        <v>108</v>
      </c>
      <c r="C4" s="1"/>
      <c r="D4" s="1"/>
      <c r="E4" s="1"/>
      <c r="F4" s="1"/>
      <c r="G4" s="1"/>
      <c r="H4" s="1"/>
    </row>
    <row r="5" spans="2:8" ht="15.75" customHeight="1" x14ac:dyDescent="0.2">
      <c r="B5" s="21" t="s">
        <v>109</v>
      </c>
      <c r="C5" s="22">
        <v>30732</v>
      </c>
      <c r="D5" s="22">
        <v>35703</v>
      </c>
      <c r="E5" s="22">
        <v>43683</v>
      </c>
      <c r="F5" s="22">
        <v>49382</v>
      </c>
      <c r="G5" s="22">
        <v>55308</v>
      </c>
      <c r="H5" s="22">
        <v>61392</v>
      </c>
    </row>
    <row r="6" spans="2:8" ht="15.75" customHeight="1" x14ac:dyDescent="0.2">
      <c r="B6" s="24" t="s">
        <v>110</v>
      </c>
      <c r="C6" s="25">
        <v>100</v>
      </c>
      <c r="D6" s="25">
        <v>600</v>
      </c>
      <c r="E6" s="25">
        <v>1500</v>
      </c>
      <c r="F6" s="25">
        <v>3000</v>
      </c>
      <c r="G6" s="25">
        <v>4800</v>
      </c>
      <c r="H6" s="25">
        <v>6720</v>
      </c>
    </row>
    <row r="7" spans="2:8" ht="15.75" customHeight="1" x14ac:dyDescent="0.2">
      <c r="B7" s="21" t="s">
        <v>111</v>
      </c>
      <c r="C7" s="22">
        <v>0</v>
      </c>
      <c r="D7" s="22">
        <v>0</v>
      </c>
      <c r="E7" s="22">
        <v>0</v>
      </c>
      <c r="F7" s="22">
        <v>500</v>
      </c>
      <c r="G7" s="22">
        <v>725</v>
      </c>
      <c r="H7" s="22">
        <v>980</v>
      </c>
    </row>
    <row r="8" spans="2:8" ht="15.75" customHeight="1" x14ac:dyDescent="0.2">
      <c r="B8" s="24" t="s">
        <v>112</v>
      </c>
      <c r="C8" s="25">
        <v>990</v>
      </c>
      <c r="D8" s="25">
        <v>697</v>
      </c>
      <c r="E8" s="25">
        <v>0</v>
      </c>
      <c r="F8" s="25">
        <v>318</v>
      </c>
      <c r="G8" s="25">
        <v>350</v>
      </c>
      <c r="H8" s="25">
        <v>385</v>
      </c>
    </row>
    <row r="9" spans="2:8" ht="15.75" customHeight="1" x14ac:dyDescent="0.2">
      <c r="B9" s="34" t="s">
        <v>113</v>
      </c>
      <c r="C9" s="37">
        <v>31722</v>
      </c>
      <c r="D9" s="37">
        <v>39000</v>
      </c>
      <c r="E9" s="37">
        <v>45183</v>
      </c>
      <c r="F9" s="37">
        <v>53200</v>
      </c>
      <c r="G9" s="37">
        <v>61183</v>
      </c>
      <c r="H9" s="37">
        <v>69477</v>
      </c>
    </row>
    <row r="10" spans="2:8" ht="7.5" customHeight="1" x14ac:dyDescent="0.2"/>
    <row r="11" spans="2:8" ht="15" customHeight="1" x14ac:dyDescent="0.2">
      <c r="B11" s="1" t="s">
        <v>114</v>
      </c>
      <c r="C11" s="1"/>
      <c r="D11" s="1"/>
      <c r="E11" s="1"/>
      <c r="F11" s="1"/>
      <c r="G11" s="1"/>
      <c r="H11" s="1"/>
    </row>
    <row r="12" spans="2:8" ht="15.75" customHeight="1" x14ac:dyDescent="0.2">
      <c r="B12" s="21" t="s">
        <v>115</v>
      </c>
      <c r="C12" s="22">
        <v>17332</v>
      </c>
      <c r="D12" s="22">
        <v>22148</v>
      </c>
      <c r="E12" s="22">
        <v>25500</v>
      </c>
      <c r="F12" s="38">
        <f>E12*(1+0.085)</f>
        <v>27667.5</v>
      </c>
      <c r="G12" s="38">
        <f>F12*(1+0.085)</f>
        <v>30019.237499999999</v>
      </c>
      <c r="H12" s="38">
        <f>G12*(1+0.085)</f>
        <v>32570.872687499999</v>
      </c>
    </row>
    <row r="13" spans="2:8" ht="15.75" customHeight="1" x14ac:dyDescent="0.2">
      <c r="B13" s="24" t="s">
        <v>116</v>
      </c>
      <c r="C13" s="25">
        <v>2655</v>
      </c>
      <c r="D13" s="25">
        <v>2955</v>
      </c>
      <c r="E13" s="25">
        <v>3308</v>
      </c>
      <c r="F13" s="39">
        <f>E13*(1+0.13)</f>
        <v>3738.0399999999995</v>
      </c>
      <c r="G13" s="39">
        <f>F13*(1+0.13)</f>
        <v>4223.9851999999992</v>
      </c>
      <c r="H13" s="39">
        <f>G13*(1+0.13)</f>
        <v>4773.1032759999989</v>
      </c>
    </row>
    <row r="14" spans="2:8" ht="15.75" customHeight="1" x14ac:dyDescent="0.2">
      <c r="B14" s="21" t="s">
        <v>117</v>
      </c>
      <c r="C14" s="22">
        <v>2653</v>
      </c>
      <c r="D14" s="22">
        <v>2525</v>
      </c>
      <c r="E14" s="22">
        <v>2942</v>
      </c>
      <c r="F14" s="38">
        <f>E14*(1+0.08)</f>
        <v>3177.36</v>
      </c>
      <c r="G14" s="38">
        <f>F14*(1+0.08)</f>
        <v>3431.5488000000005</v>
      </c>
      <c r="H14" s="38">
        <f>G14*(1+0.08)</f>
        <v>3706.0727040000006</v>
      </c>
    </row>
    <row r="15" spans="2:8" ht="15.75" customHeight="1" x14ac:dyDescent="0.2">
      <c r="B15" s="24" t="s">
        <v>118</v>
      </c>
      <c r="C15" s="25">
        <v>1650</v>
      </c>
      <c r="D15" s="25">
        <v>1628</v>
      </c>
      <c r="E15" s="25">
        <v>1740</v>
      </c>
      <c r="F15" s="39">
        <f>E15*(1+0.07)</f>
        <v>1861.8000000000002</v>
      </c>
      <c r="G15" s="39">
        <f>F15*(1+0.07)</f>
        <v>1992.1260000000002</v>
      </c>
      <c r="H15" s="39">
        <f>G15*(1+0.07)</f>
        <v>2131.5748200000003</v>
      </c>
    </row>
    <row r="16" spans="2:8" ht="15.75" customHeight="1" x14ac:dyDescent="0.2">
      <c r="B16" s="34" t="s">
        <v>119</v>
      </c>
      <c r="C16" s="35">
        <f t="shared" ref="C16:H16" si="0">SUM(C12:C15)</f>
        <v>24290</v>
      </c>
      <c r="D16" s="35">
        <f t="shared" si="0"/>
        <v>29256</v>
      </c>
      <c r="E16" s="35">
        <f t="shared" si="0"/>
        <v>33490</v>
      </c>
      <c r="F16" s="35">
        <f t="shared" si="0"/>
        <v>36444.700000000004</v>
      </c>
      <c r="G16" s="35">
        <f t="shared" si="0"/>
        <v>39666.897500000006</v>
      </c>
      <c r="H16" s="35">
        <f t="shared" si="0"/>
        <v>43181.623487500001</v>
      </c>
    </row>
    <row r="17" spans="2:8" ht="15.75" customHeight="1" x14ac:dyDescent="0.2">
      <c r="B17" s="34" t="s">
        <v>120</v>
      </c>
      <c r="C17" s="35">
        <f t="shared" ref="C17:H17" si="1">C9-C16</f>
        <v>7432</v>
      </c>
      <c r="D17" s="35">
        <f t="shared" si="1"/>
        <v>9744</v>
      </c>
      <c r="E17" s="35">
        <f t="shared" si="1"/>
        <v>11693</v>
      </c>
      <c r="F17" s="35">
        <f t="shared" si="1"/>
        <v>16755.299999999996</v>
      </c>
      <c r="G17" s="35">
        <f t="shared" si="1"/>
        <v>21516.102499999994</v>
      </c>
      <c r="H17" s="35">
        <f t="shared" si="1"/>
        <v>26295.376512499999</v>
      </c>
    </row>
    <row r="18" spans="2:8" ht="15.75" customHeight="1" x14ac:dyDescent="0.2">
      <c r="B18" s="24" t="s">
        <v>121</v>
      </c>
      <c r="C18" s="40">
        <f t="shared" ref="C18:H18" si="2">C17/C9</f>
        <v>0.23428535401298783</v>
      </c>
      <c r="D18" s="40">
        <f t="shared" si="2"/>
        <v>0.24984615384615386</v>
      </c>
      <c r="E18" s="40">
        <f t="shared" si="2"/>
        <v>0.25879202354867981</v>
      </c>
      <c r="F18" s="40">
        <f t="shared" si="2"/>
        <v>0.31494924812030067</v>
      </c>
      <c r="G18" s="40">
        <f t="shared" si="2"/>
        <v>0.35166798783975933</v>
      </c>
      <c r="H18" s="40">
        <f t="shared" si="2"/>
        <v>0.3784759922348403</v>
      </c>
    </row>
    <row r="19" spans="2:8" ht="15.75" customHeight="1" x14ac:dyDescent="0.2">
      <c r="B19" s="24" t="s">
        <v>122</v>
      </c>
      <c r="C19" s="25">
        <v>650</v>
      </c>
      <c r="D19" s="25">
        <v>699</v>
      </c>
      <c r="E19" s="25">
        <v>722</v>
      </c>
      <c r="F19" s="39">
        <f>E19*(1+-0.03)</f>
        <v>700.34</v>
      </c>
      <c r="G19" s="39">
        <f>F19*(1+-0.03)</f>
        <v>679.32979999999998</v>
      </c>
      <c r="H19" s="39">
        <f>G19*(1+-0.03)</f>
        <v>658.94990599999994</v>
      </c>
    </row>
    <row r="20" spans="2:8" ht="15.75" customHeight="1" x14ac:dyDescent="0.2">
      <c r="B20" s="21" t="s">
        <v>123</v>
      </c>
      <c r="C20" s="38">
        <f t="shared" ref="C20:H20" si="3">C17-C19</f>
        <v>6782</v>
      </c>
      <c r="D20" s="38">
        <f t="shared" si="3"/>
        <v>9045</v>
      </c>
      <c r="E20" s="38">
        <f t="shared" si="3"/>
        <v>10971</v>
      </c>
      <c r="F20" s="38">
        <f t="shared" si="3"/>
        <v>16054.959999999995</v>
      </c>
      <c r="G20" s="38">
        <f t="shared" si="3"/>
        <v>20836.772699999994</v>
      </c>
      <c r="H20" s="38">
        <f t="shared" si="3"/>
        <v>25636.426606499997</v>
      </c>
    </row>
    <row r="21" spans="2:8" ht="15.75" customHeight="1" x14ac:dyDescent="0.2">
      <c r="B21" s="24" t="s">
        <v>124</v>
      </c>
      <c r="C21" s="39">
        <f t="shared" ref="C21:H21" si="4">C20*0.21</f>
        <v>1424.22</v>
      </c>
      <c r="D21" s="39">
        <f t="shared" si="4"/>
        <v>1899.4499999999998</v>
      </c>
      <c r="E21" s="39">
        <f t="shared" si="4"/>
        <v>2303.91</v>
      </c>
      <c r="F21" s="39">
        <f t="shared" si="4"/>
        <v>3371.5415999999991</v>
      </c>
      <c r="G21" s="39">
        <f t="shared" si="4"/>
        <v>4375.7222669999983</v>
      </c>
      <c r="H21" s="39">
        <f t="shared" si="4"/>
        <v>5383.6495873649992</v>
      </c>
    </row>
    <row r="22" spans="2:8" ht="15.75" customHeight="1" x14ac:dyDescent="0.2">
      <c r="B22" s="34" t="s">
        <v>125</v>
      </c>
      <c r="C22" s="35">
        <f t="shared" ref="C22:H22" si="5">C20-C21</f>
        <v>5357.78</v>
      </c>
      <c r="D22" s="35">
        <f t="shared" si="5"/>
        <v>7145.55</v>
      </c>
      <c r="E22" s="35">
        <f t="shared" si="5"/>
        <v>8667.09</v>
      </c>
      <c r="F22" s="35">
        <f t="shared" si="5"/>
        <v>12683.418399999997</v>
      </c>
      <c r="G22" s="35">
        <f t="shared" si="5"/>
        <v>16461.050432999997</v>
      </c>
      <c r="H22" s="35">
        <f t="shared" si="5"/>
        <v>20252.777019134999</v>
      </c>
    </row>
    <row r="23" spans="2:8" ht="15.75" customHeight="1" x14ac:dyDescent="0.2">
      <c r="B23" s="24" t="s">
        <v>126</v>
      </c>
      <c r="C23" s="40">
        <f t="shared" ref="C23:H23" si="6">C22/C9</f>
        <v>0.16889792572977744</v>
      </c>
      <c r="D23" s="40">
        <f t="shared" si="6"/>
        <v>0.18321923076923077</v>
      </c>
      <c r="E23" s="40">
        <f t="shared" si="6"/>
        <v>0.19182192417502159</v>
      </c>
      <c r="F23" s="40">
        <f t="shared" si="6"/>
        <v>0.23841012030075182</v>
      </c>
      <c r="G23" s="40">
        <f t="shared" si="6"/>
        <v>0.26904614734485066</v>
      </c>
      <c r="H23" s="40">
        <f t="shared" si="6"/>
        <v>0.29150333231335551</v>
      </c>
    </row>
    <row r="24" spans="2:8" ht="15.75" customHeight="1" x14ac:dyDescent="0.2">
      <c r="B24" s="34" t="s">
        <v>127</v>
      </c>
      <c r="C24" s="35">
        <f t="shared" ref="C24:H24" si="7">C17+C17*0.08</f>
        <v>8026.56</v>
      </c>
      <c r="D24" s="35">
        <f t="shared" si="7"/>
        <v>10523.52</v>
      </c>
      <c r="E24" s="35">
        <f t="shared" si="7"/>
        <v>12628.44</v>
      </c>
      <c r="F24" s="35">
        <f t="shared" si="7"/>
        <v>18095.723999999995</v>
      </c>
      <c r="G24" s="35">
        <f t="shared" si="7"/>
        <v>23237.390699999993</v>
      </c>
      <c r="H24" s="35">
        <f t="shared" si="7"/>
        <v>28399.006633500001</v>
      </c>
    </row>
    <row r="25" spans="2:8" ht="15.75" customHeight="1" x14ac:dyDescent="0.2">
      <c r="B25" s="24" t="s">
        <v>128</v>
      </c>
      <c r="C25" s="40">
        <f t="shared" ref="C25:H25" si="8">C24/C9</f>
        <v>0.25302818233402685</v>
      </c>
      <c r="D25" s="40">
        <f t="shared" si="8"/>
        <v>0.26983384615384615</v>
      </c>
      <c r="E25" s="40">
        <f t="shared" si="8"/>
        <v>0.27949538543257418</v>
      </c>
      <c r="F25" s="40">
        <f t="shared" si="8"/>
        <v>0.34014518796992471</v>
      </c>
      <c r="G25" s="40">
        <f t="shared" si="8"/>
        <v>0.37980142686694002</v>
      </c>
      <c r="H25" s="40">
        <f t="shared" si="8"/>
        <v>0.40875407161362753</v>
      </c>
    </row>
  </sheetData>
  <mergeCells count="3">
    <mergeCell ref="B1:H1"/>
    <mergeCell ref="B4:H4"/>
    <mergeCell ref="B11:H1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70C0"/>
  </sheetPr>
  <dimension ref="B1:G28"/>
  <sheetViews>
    <sheetView showGridLines="0" zoomScaleNormal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/>
    </sheetView>
  </sheetViews>
  <sheetFormatPr baseColWidth="10" defaultColWidth="8.6640625" defaultRowHeight="15" x14ac:dyDescent="0.2"/>
  <cols>
    <col min="1" max="1" width="2" customWidth="1"/>
    <col min="2" max="2" width="36" customWidth="1"/>
    <col min="3" max="7" width="16" customWidth="1"/>
  </cols>
  <sheetData>
    <row r="1" spans="2:7" ht="24" customHeight="1" x14ac:dyDescent="0.2">
      <c r="B1" s="3" t="s">
        <v>129</v>
      </c>
      <c r="C1" s="3"/>
      <c r="D1" s="3"/>
      <c r="E1" s="3"/>
      <c r="F1" s="3"/>
      <c r="G1" s="3"/>
    </row>
    <row r="2" spans="2:7" ht="7.5" customHeight="1" x14ac:dyDescent="0.2"/>
    <row r="3" spans="2:7" ht="15" customHeight="1" x14ac:dyDescent="0.2">
      <c r="B3" s="2" t="s">
        <v>130</v>
      </c>
      <c r="C3" s="2"/>
      <c r="D3" s="2"/>
      <c r="E3" s="2"/>
      <c r="F3" s="2"/>
      <c r="G3" s="2"/>
    </row>
    <row r="4" spans="2:7" ht="15" customHeight="1" x14ac:dyDescent="0.2">
      <c r="B4" s="20" t="s">
        <v>131</v>
      </c>
      <c r="C4" s="20" t="s">
        <v>132</v>
      </c>
      <c r="D4" s="20" t="s">
        <v>133</v>
      </c>
      <c r="E4" s="20" t="s">
        <v>134</v>
      </c>
    </row>
    <row r="5" spans="2:7" ht="15.75" customHeight="1" x14ac:dyDescent="0.2">
      <c r="B5" s="21" t="s">
        <v>135</v>
      </c>
      <c r="C5" s="22">
        <v>6500</v>
      </c>
      <c r="D5" s="41"/>
      <c r="E5" s="42" t="s">
        <v>136</v>
      </c>
    </row>
    <row r="6" spans="2:7" ht="15.75" customHeight="1" x14ac:dyDescent="0.2">
      <c r="B6" s="24" t="s">
        <v>137</v>
      </c>
      <c r="C6" s="25">
        <v>500</v>
      </c>
      <c r="E6" s="43" t="s">
        <v>138</v>
      </c>
    </row>
    <row r="7" spans="2:7" ht="15.75" customHeight="1" x14ac:dyDescent="0.2">
      <c r="B7" s="44" t="s">
        <v>139</v>
      </c>
      <c r="C7" s="45">
        <v>6000</v>
      </c>
      <c r="D7" s="41"/>
      <c r="E7" s="42">
        <f>C5-C6</f>
        <v>6000</v>
      </c>
    </row>
    <row r="8" spans="2:7" ht="15.75" customHeight="1" x14ac:dyDescent="0.2">
      <c r="B8" s="24"/>
    </row>
    <row r="9" spans="2:7" ht="15.75" customHeight="1" x14ac:dyDescent="0.2">
      <c r="B9" s="21" t="s">
        <v>140</v>
      </c>
      <c r="C9" s="22">
        <v>3000</v>
      </c>
      <c r="D9" s="30" t="s">
        <v>141</v>
      </c>
      <c r="E9" s="42" t="s">
        <v>142</v>
      </c>
    </row>
    <row r="10" spans="2:7" ht="15.75" customHeight="1" x14ac:dyDescent="0.2">
      <c r="B10" s="24" t="s">
        <v>143</v>
      </c>
      <c r="C10" s="25">
        <v>1000</v>
      </c>
      <c r="D10" s="31" t="s">
        <v>144</v>
      </c>
      <c r="E10" s="43" t="s">
        <v>145</v>
      </c>
    </row>
    <row r="11" spans="2:7" ht="15.75" customHeight="1" x14ac:dyDescent="0.2">
      <c r="B11" s="21" t="s">
        <v>146</v>
      </c>
      <c r="C11" s="22">
        <v>2500</v>
      </c>
      <c r="D11" s="30" t="s">
        <v>147</v>
      </c>
      <c r="E11" s="42" t="s">
        <v>148</v>
      </c>
    </row>
    <row r="12" spans="2:7" ht="15.75" customHeight="1" x14ac:dyDescent="0.2">
      <c r="B12" s="46" t="s">
        <v>149</v>
      </c>
      <c r="C12" s="47">
        <v>6500</v>
      </c>
      <c r="D12" s="31" t="s">
        <v>150</v>
      </c>
      <c r="E12" s="43" t="s">
        <v>151</v>
      </c>
    </row>
    <row r="13" spans="2:7" ht="15.75" customHeight="1" x14ac:dyDescent="0.2">
      <c r="B13" s="24"/>
    </row>
    <row r="14" spans="2:7" ht="15.75" customHeight="1" x14ac:dyDescent="0.2">
      <c r="B14" s="24" t="s">
        <v>152</v>
      </c>
      <c r="C14" s="25">
        <v>195</v>
      </c>
      <c r="D14" s="31" t="s">
        <v>153</v>
      </c>
      <c r="E14" s="43" t="s">
        <v>154</v>
      </c>
    </row>
    <row r="15" spans="2:7" ht="15.75" customHeight="1" x14ac:dyDescent="0.2">
      <c r="B15" s="44" t="s">
        <v>155</v>
      </c>
      <c r="C15" s="48">
        <v>6695</v>
      </c>
      <c r="D15" s="41"/>
      <c r="E15" s="42" t="s">
        <v>156</v>
      </c>
    </row>
    <row r="16" spans="2:7" ht="7.5" customHeight="1" x14ac:dyDescent="0.2"/>
    <row r="17" spans="2:7" ht="15" customHeight="1" x14ac:dyDescent="0.2">
      <c r="B17" s="2" t="s">
        <v>157</v>
      </c>
      <c r="C17" s="2"/>
      <c r="D17" s="2"/>
      <c r="E17" s="2"/>
      <c r="F17" s="2"/>
      <c r="G17" s="2"/>
    </row>
    <row r="18" spans="2:7" ht="15" customHeight="1" x14ac:dyDescent="0.2">
      <c r="C18" s="20" t="s">
        <v>105</v>
      </c>
      <c r="D18" s="20" t="s">
        <v>38</v>
      </c>
      <c r="E18" s="20" t="s">
        <v>106</v>
      </c>
      <c r="F18" s="20" t="s">
        <v>107</v>
      </c>
      <c r="G18" s="20" t="s">
        <v>158</v>
      </c>
    </row>
    <row r="19" spans="2:7" ht="15.75" customHeight="1" x14ac:dyDescent="0.2">
      <c r="B19" s="21" t="s">
        <v>159</v>
      </c>
      <c r="C19" s="22">
        <v>1860</v>
      </c>
      <c r="D19" s="22">
        <v>2232</v>
      </c>
      <c r="E19" s="22">
        <v>2679</v>
      </c>
      <c r="F19" s="22">
        <v>3079</v>
      </c>
      <c r="G19" s="22">
        <v>3541</v>
      </c>
    </row>
    <row r="20" spans="2:7" ht="15.75" customHeight="1" x14ac:dyDescent="0.2">
      <c r="B20" s="24" t="s">
        <v>160</v>
      </c>
      <c r="C20" t="s">
        <v>161</v>
      </c>
      <c r="D20" s="32">
        <v>0.2</v>
      </c>
      <c r="E20" s="32">
        <v>0.2</v>
      </c>
      <c r="F20" s="32">
        <v>0.15</v>
      </c>
      <c r="G20" s="32">
        <v>0.15</v>
      </c>
    </row>
    <row r="21" spans="2:7" ht="15.75" customHeight="1" x14ac:dyDescent="0.2">
      <c r="B21" s="21" t="s">
        <v>162</v>
      </c>
      <c r="C21" s="22">
        <v>930</v>
      </c>
      <c r="D21" s="22">
        <v>1004</v>
      </c>
      <c r="E21" s="22">
        <v>1205</v>
      </c>
      <c r="F21" s="22">
        <v>1356</v>
      </c>
      <c r="G21" s="22">
        <v>1416</v>
      </c>
    </row>
    <row r="22" spans="2:7" ht="15.75" customHeight="1" x14ac:dyDescent="0.2">
      <c r="B22" s="34" t="s">
        <v>163</v>
      </c>
      <c r="C22" s="35">
        <f>C19-C21</f>
        <v>930</v>
      </c>
      <c r="D22" s="35">
        <f>D19-D21</f>
        <v>1228</v>
      </c>
      <c r="E22" s="35">
        <f>E19-E21</f>
        <v>1474</v>
      </c>
      <c r="F22" s="35">
        <f>F19-F21</f>
        <v>1723</v>
      </c>
      <c r="G22" s="35">
        <f>G19-G21</f>
        <v>2125</v>
      </c>
    </row>
    <row r="23" spans="2:7" ht="15.75" customHeight="1" x14ac:dyDescent="0.2">
      <c r="B23" s="34" t="s">
        <v>164</v>
      </c>
      <c r="C23" s="49">
        <f>C22/C19</f>
        <v>0.5</v>
      </c>
      <c r="D23" s="49">
        <f>D22/D19</f>
        <v>0.55017921146953408</v>
      </c>
      <c r="E23" s="49">
        <f>E22/E19</f>
        <v>0.55020530048525573</v>
      </c>
      <c r="F23" s="49">
        <f>F22/F19</f>
        <v>0.55959727184150698</v>
      </c>
      <c r="G23" s="49">
        <f>G22/G19</f>
        <v>0.60011296243998868</v>
      </c>
    </row>
    <row r="24" spans="2:7" ht="15.75" customHeight="1" x14ac:dyDescent="0.2">
      <c r="B24" s="24" t="s">
        <v>165</v>
      </c>
      <c r="C24" s="25">
        <v>465</v>
      </c>
      <c r="D24" s="25">
        <v>513</v>
      </c>
      <c r="E24" s="25">
        <v>616</v>
      </c>
      <c r="F24" s="25">
        <v>677</v>
      </c>
      <c r="G24" s="25">
        <v>779</v>
      </c>
    </row>
    <row r="25" spans="2:7" ht="15.75" customHeight="1" x14ac:dyDescent="0.2">
      <c r="B25" s="34" t="s">
        <v>166</v>
      </c>
      <c r="C25" s="35">
        <f>C22-C24</f>
        <v>465</v>
      </c>
      <c r="D25" s="35">
        <f>D22-D24</f>
        <v>715</v>
      </c>
      <c r="E25" s="35">
        <f>E22-E24</f>
        <v>858</v>
      </c>
      <c r="F25" s="35">
        <f>F22-F24</f>
        <v>1046</v>
      </c>
      <c r="G25" s="35">
        <f>G22-G24</f>
        <v>1346</v>
      </c>
    </row>
    <row r="26" spans="2:7" ht="15.75" customHeight="1" x14ac:dyDescent="0.2">
      <c r="B26" s="34" t="s">
        <v>167</v>
      </c>
      <c r="C26" s="49">
        <f>C25/C19</f>
        <v>0.25</v>
      </c>
      <c r="D26" s="49">
        <f>D25/D19</f>
        <v>0.32034050179211471</v>
      </c>
      <c r="E26" s="49">
        <f>E25/E19</f>
        <v>0.32026875699888019</v>
      </c>
      <c r="F26" s="49">
        <f>F25/F19</f>
        <v>0.33972068853523874</v>
      </c>
      <c r="G26" s="49">
        <f>G25/G19</f>
        <v>0.38011861056198815</v>
      </c>
    </row>
    <row r="27" spans="2:7" ht="15.75" customHeight="1" x14ac:dyDescent="0.2">
      <c r="B27" s="21" t="s">
        <v>168</v>
      </c>
      <c r="C27" s="22">
        <v>93</v>
      </c>
      <c r="D27" s="22">
        <v>112</v>
      </c>
      <c r="E27" s="22">
        <v>134</v>
      </c>
      <c r="F27" s="22">
        <v>154</v>
      </c>
      <c r="G27" s="22">
        <v>177</v>
      </c>
    </row>
    <row r="28" spans="2:7" ht="15.75" customHeight="1" x14ac:dyDescent="0.2">
      <c r="B28" s="34" t="s">
        <v>169</v>
      </c>
      <c r="C28" s="35">
        <f>C25-C27</f>
        <v>372</v>
      </c>
      <c r="D28" s="35">
        <f>D25-D27</f>
        <v>603</v>
      </c>
      <c r="E28" s="35">
        <f>E25-E27</f>
        <v>724</v>
      </c>
      <c r="F28" s="35">
        <f>F25-F27</f>
        <v>892</v>
      </c>
      <c r="G28" s="35">
        <f>G25-G27</f>
        <v>1169</v>
      </c>
    </row>
  </sheetData>
  <mergeCells count="3">
    <mergeCell ref="B1:G1"/>
    <mergeCell ref="B3:G3"/>
    <mergeCell ref="B17:G17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50"/>
  </sheetPr>
  <dimension ref="B1:H25"/>
  <sheetViews>
    <sheetView showGridLines="0" zoomScaleNormal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/>
    </sheetView>
  </sheetViews>
  <sheetFormatPr baseColWidth="10" defaultColWidth="8.6640625" defaultRowHeight="15" x14ac:dyDescent="0.2"/>
  <cols>
    <col min="1" max="1" width="2" customWidth="1"/>
    <col min="2" max="2" width="36" customWidth="1"/>
    <col min="3" max="8" width="14" customWidth="1"/>
  </cols>
  <sheetData>
    <row r="1" spans="2:8" ht="24" customHeight="1" x14ac:dyDescent="0.2">
      <c r="B1" s="3" t="s">
        <v>170</v>
      </c>
      <c r="C1" s="3"/>
      <c r="D1" s="3"/>
      <c r="E1" s="3"/>
      <c r="F1" s="3"/>
      <c r="G1" s="3"/>
      <c r="H1" s="3"/>
    </row>
    <row r="2" spans="2:8" ht="7.5" customHeight="1" x14ac:dyDescent="0.2"/>
    <row r="3" spans="2:8" ht="15" customHeight="1" x14ac:dyDescent="0.2">
      <c r="C3" s="36" t="s">
        <v>38</v>
      </c>
      <c r="D3" s="36" t="s">
        <v>106</v>
      </c>
      <c r="E3" s="36" t="s">
        <v>107</v>
      </c>
      <c r="F3" s="36" t="s">
        <v>158</v>
      </c>
      <c r="G3" s="36" t="s">
        <v>171</v>
      </c>
      <c r="H3" s="20" t="s">
        <v>92</v>
      </c>
    </row>
    <row r="4" spans="2:8" ht="15" customHeight="1" x14ac:dyDescent="0.2">
      <c r="B4" s="1" t="s">
        <v>172</v>
      </c>
      <c r="C4" s="1"/>
      <c r="D4" s="1"/>
      <c r="E4" s="1"/>
      <c r="F4" s="1"/>
      <c r="G4" s="1"/>
      <c r="H4" s="1"/>
    </row>
    <row r="5" spans="2:8" ht="15.75" customHeight="1" x14ac:dyDescent="0.2">
      <c r="B5" s="21" t="s">
        <v>173</v>
      </c>
      <c r="C5" s="22">
        <v>100</v>
      </c>
      <c r="D5" s="22">
        <v>200</v>
      </c>
      <c r="E5" s="22">
        <v>300</v>
      </c>
      <c r="F5" s="22">
        <v>350</v>
      </c>
      <c r="G5" s="22">
        <v>400</v>
      </c>
      <c r="H5" s="22">
        <v>450</v>
      </c>
    </row>
    <row r="6" spans="2:8" ht="15.75" customHeight="1" x14ac:dyDescent="0.2">
      <c r="B6" s="24" t="s">
        <v>174</v>
      </c>
      <c r="C6" s="25">
        <v>80</v>
      </c>
      <c r="D6" s="25">
        <v>200</v>
      </c>
      <c r="E6" s="25">
        <v>400</v>
      </c>
      <c r="F6" s="25">
        <v>550</v>
      </c>
      <c r="G6" s="25">
        <v>700</v>
      </c>
      <c r="H6" s="25">
        <v>800</v>
      </c>
    </row>
    <row r="7" spans="2:8" ht="15.75" customHeight="1" x14ac:dyDescent="0.2">
      <c r="B7" s="21" t="s">
        <v>175</v>
      </c>
      <c r="C7" s="22">
        <v>30</v>
      </c>
      <c r="D7" s="22">
        <v>70</v>
      </c>
      <c r="E7" s="22">
        <v>120</v>
      </c>
      <c r="F7" s="22">
        <v>160</v>
      </c>
      <c r="G7" s="22">
        <v>200</v>
      </c>
      <c r="H7" s="22">
        <v>220</v>
      </c>
    </row>
    <row r="8" spans="2:8" ht="15.75" customHeight="1" x14ac:dyDescent="0.2">
      <c r="B8" s="24" t="s">
        <v>176</v>
      </c>
      <c r="C8" s="25">
        <v>40</v>
      </c>
      <c r="D8" s="25">
        <v>90</v>
      </c>
      <c r="E8" s="25">
        <v>150</v>
      </c>
      <c r="F8" s="25">
        <v>200</v>
      </c>
      <c r="G8" s="25">
        <v>250</v>
      </c>
      <c r="H8" s="25">
        <v>280</v>
      </c>
    </row>
    <row r="9" spans="2:8" ht="15.75" customHeight="1" x14ac:dyDescent="0.2">
      <c r="B9" s="21" t="s">
        <v>177</v>
      </c>
      <c r="C9" s="22">
        <v>20</v>
      </c>
      <c r="D9" s="22">
        <v>50</v>
      </c>
      <c r="E9" s="22">
        <v>100</v>
      </c>
      <c r="F9" s="22">
        <v>140</v>
      </c>
      <c r="G9" s="22">
        <v>180</v>
      </c>
      <c r="H9" s="22">
        <v>200</v>
      </c>
    </row>
    <row r="10" spans="2:8" ht="15.75" customHeight="1" x14ac:dyDescent="0.2">
      <c r="B10" s="34" t="s">
        <v>178</v>
      </c>
      <c r="C10" s="35">
        <f t="shared" ref="C10:H10" si="0">SUM(C5:C9)</f>
        <v>270</v>
      </c>
      <c r="D10" s="35">
        <f t="shared" si="0"/>
        <v>610</v>
      </c>
      <c r="E10" s="35">
        <f t="shared" si="0"/>
        <v>1070</v>
      </c>
      <c r="F10" s="35">
        <f t="shared" si="0"/>
        <v>1400</v>
      </c>
      <c r="G10" s="35">
        <f t="shared" si="0"/>
        <v>1730</v>
      </c>
      <c r="H10" s="35">
        <f t="shared" si="0"/>
        <v>1950</v>
      </c>
    </row>
    <row r="11" spans="2:8" ht="7.5" customHeight="1" x14ac:dyDescent="0.2"/>
    <row r="12" spans="2:8" ht="15" customHeight="1" x14ac:dyDescent="0.2">
      <c r="B12" s="1" t="s">
        <v>179</v>
      </c>
      <c r="C12" s="1"/>
      <c r="D12" s="1"/>
      <c r="E12" s="1"/>
      <c r="F12" s="1"/>
      <c r="G12" s="1"/>
      <c r="H12" s="1"/>
    </row>
    <row r="13" spans="2:8" ht="15.75" customHeight="1" x14ac:dyDescent="0.2">
      <c r="B13" s="21" t="s">
        <v>180</v>
      </c>
      <c r="C13" s="22">
        <v>150</v>
      </c>
      <c r="D13" s="22">
        <v>300</v>
      </c>
      <c r="E13" s="22">
        <v>450</v>
      </c>
      <c r="F13" s="22">
        <v>500</v>
      </c>
      <c r="G13" s="22">
        <v>520</v>
      </c>
      <c r="H13" s="22">
        <v>550</v>
      </c>
    </row>
    <row r="14" spans="2:8" ht="15.75" customHeight="1" x14ac:dyDescent="0.2">
      <c r="B14" s="24" t="s">
        <v>181</v>
      </c>
      <c r="C14" s="25">
        <v>30</v>
      </c>
      <c r="D14" s="25">
        <v>80</v>
      </c>
      <c r="E14" s="25">
        <v>130</v>
      </c>
      <c r="F14" s="25">
        <v>150</v>
      </c>
      <c r="G14" s="25">
        <v>160</v>
      </c>
      <c r="H14" s="25">
        <v>170</v>
      </c>
    </row>
    <row r="15" spans="2:8" ht="15.75" customHeight="1" x14ac:dyDescent="0.2">
      <c r="B15" s="21" t="s">
        <v>182</v>
      </c>
      <c r="C15" s="22">
        <v>50</v>
      </c>
      <c r="D15" s="22">
        <v>120</v>
      </c>
      <c r="E15" s="22">
        <v>200</v>
      </c>
      <c r="F15" s="22">
        <v>220</v>
      </c>
      <c r="G15" s="22">
        <v>230</v>
      </c>
      <c r="H15" s="22">
        <v>240</v>
      </c>
    </row>
    <row r="16" spans="2:8" ht="15.75" customHeight="1" x14ac:dyDescent="0.2">
      <c r="B16" s="24" t="s">
        <v>183</v>
      </c>
      <c r="C16" s="25">
        <v>40</v>
      </c>
      <c r="D16" s="25">
        <v>80</v>
      </c>
      <c r="E16" s="25">
        <v>120</v>
      </c>
      <c r="F16" s="25">
        <v>140</v>
      </c>
      <c r="G16" s="25">
        <v>150</v>
      </c>
      <c r="H16" s="25">
        <v>160</v>
      </c>
    </row>
    <row r="17" spans="2:8" ht="15.75" customHeight="1" x14ac:dyDescent="0.2">
      <c r="B17" s="34" t="s">
        <v>184</v>
      </c>
      <c r="C17" s="35">
        <f t="shared" ref="C17:H17" si="1">SUM(C13:C16)</f>
        <v>270</v>
      </c>
      <c r="D17" s="35">
        <f t="shared" si="1"/>
        <v>580</v>
      </c>
      <c r="E17" s="35">
        <f t="shared" si="1"/>
        <v>900</v>
      </c>
      <c r="F17" s="35">
        <f t="shared" si="1"/>
        <v>1010</v>
      </c>
      <c r="G17" s="35">
        <f t="shared" si="1"/>
        <v>1060</v>
      </c>
      <c r="H17" s="35">
        <f t="shared" si="1"/>
        <v>1120</v>
      </c>
    </row>
    <row r="18" spans="2:8" ht="7.5" customHeight="1" x14ac:dyDescent="0.2"/>
    <row r="19" spans="2:8" ht="15" customHeight="1" x14ac:dyDescent="0.2">
      <c r="B19" s="2" t="s">
        <v>185</v>
      </c>
      <c r="C19" s="2"/>
      <c r="D19" s="2"/>
      <c r="E19" s="2"/>
      <c r="F19" s="2"/>
      <c r="G19" s="2"/>
      <c r="H19" s="2"/>
    </row>
    <row r="20" spans="2:8" ht="15.75" customHeight="1" x14ac:dyDescent="0.2">
      <c r="B20" s="21" t="s">
        <v>178</v>
      </c>
      <c r="C20" s="22">
        <v>270</v>
      </c>
      <c r="D20" s="22">
        <v>710</v>
      </c>
      <c r="E20" s="22">
        <v>1270</v>
      </c>
      <c r="F20" s="22">
        <v>1600</v>
      </c>
      <c r="G20" s="22">
        <v>1930</v>
      </c>
      <c r="H20" s="22">
        <v>2150</v>
      </c>
    </row>
    <row r="21" spans="2:8" ht="15.75" customHeight="1" x14ac:dyDescent="0.2">
      <c r="B21" s="24" t="s">
        <v>184</v>
      </c>
      <c r="C21" s="25">
        <v>270</v>
      </c>
      <c r="D21" s="25">
        <v>580</v>
      </c>
      <c r="E21" s="25">
        <v>900</v>
      </c>
      <c r="F21" s="25">
        <v>1010</v>
      </c>
      <c r="G21" s="25">
        <v>1060</v>
      </c>
      <c r="H21" s="25">
        <v>1120</v>
      </c>
    </row>
    <row r="22" spans="2:8" ht="15.75" customHeight="1" x14ac:dyDescent="0.2">
      <c r="B22" s="34" t="s">
        <v>99</v>
      </c>
      <c r="C22" s="50">
        <v>540</v>
      </c>
      <c r="D22" s="50">
        <v>1290</v>
      </c>
      <c r="E22" s="50">
        <v>2170</v>
      </c>
      <c r="F22" s="50">
        <v>2610</v>
      </c>
      <c r="G22" s="50">
        <v>2990</v>
      </c>
      <c r="H22" s="50">
        <v>3270</v>
      </c>
    </row>
    <row r="23" spans="2:8" ht="15.75" customHeight="1" x14ac:dyDescent="0.2">
      <c r="B23" s="24" t="s">
        <v>186</v>
      </c>
      <c r="C23" s="25">
        <v>300</v>
      </c>
      <c r="D23" s="25">
        <v>150</v>
      </c>
      <c r="E23" s="25">
        <v>75</v>
      </c>
      <c r="F23" s="25">
        <v>0</v>
      </c>
      <c r="G23" s="25">
        <v>0</v>
      </c>
      <c r="H23" s="25">
        <v>0</v>
      </c>
    </row>
    <row r="24" spans="2:8" ht="15.75" customHeight="1" x14ac:dyDescent="0.2">
      <c r="B24" s="34" t="s">
        <v>101</v>
      </c>
      <c r="C24" s="50">
        <v>240</v>
      </c>
      <c r="D24" s="50">
        <v>1140</v>
      </c>
      <c r="E24" s="50">
        <v>2095</v>
      </c>
      <c r="F24" s="50">
        <v>2610</v>
      </c>
      <c r="G24" s="50">
        <v>2990</v>
      </c>
      <c r="H24" s="50">
        <v>3270</v>
      </c>
    </row>
    <row r="25" spans="2:8" ht="15.75" customHeight="1" x14ac:dyDescent="0.2">
      <c r="B25" s="34" t="s">
        <v>187</v>
      </c>
      <c r="C25" s="51" t="s">
        <v>161</v>
      </c>
      <c r="D25" s="51" t="s">
        <v>161</v>
      </c>
      <c r="E25" s="51" t="s">
        <v>161</v>
      </c>
      <c r="F25" s="51" t="s">
        <v>161</v>
      </c>
      <c r="G25" s="51" t="s">
        <v>161</v>
      </c>
      <c r="H25" s="50">
        <v>8500</v>
      </c>
    </row>
  </sheetData>
  <mergeCells count="4">
    <mergeCell ref="B1:H1"/>
    <mergeCell ref="B4:H4"/>
    <mergeCell ref="B12:H12"/>
    <mergeCell ref="B19:H19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C9A227"/>
  </sheetPr>
  <dimension ref="B1:J18"/>
  <sheetViews>
    <sheetView showGridLines="0" zoomScaleNormal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/>
    </sheetView>
  </sheetViews>
  <sheetFormatPr baseColWidth="10" defaultColWidth="8.6640625" defaultRowHeight="15" x14ac:dyDescent="0.2"/>
  <cols>
    <col min="1" max="1" width="2" customWidth="1"/>
    <col min="2" max="2" width="36" customWidth="1"/>
    <col min="3" max="9" width="14" customWidth="1"/>
  </cols>
  <sheetData>
    <row r="1" spans="2:10" ht="24" customHeight="1" x14ac:dyDescent="0.2">
      <c r="B1" s="3" t="s">
        <v>188</v>
      </c>
      <c r="C1" s="3"/>
      <c r="D1" s="3"/>
      <c r="E1" s="3"/>
      <c r="F1" s="3"/>
      <c r="G1" s="3"/>
      <c r="H1" s="3"/>
      <c r="I1" s="3"/>
    </row>
    <row r="2" spans="2:10" ht="7.5" customHeight="1" x14ac:dyDescent="0.2"/>
    <row r="3" spans="2:10" ht="15" customHeight="1" x14ac:dyDescent="0.2">
      <c r="C3" s="20" t="s">
        <v>103</v>
      </c>
      <c r="D3" s="20" t="s">
        <v>104</v>
      </c>
      <c r="E3" s="20" t="s">
        <v>105</v>
      </c>
      <c r="F3" s="36" t="s">
        <v>38</v>
      </c>
      <c r="G3" s="36" t="s">
        <v>106</v>
      </c>
      <c r="H3" s="36" t="s">
        <v>107</v>
      </c>
      <c r="I3" s="36" t="s">
        <v>158</v>
      </c>
      <c r="J3" s="36" t="s">
        <v>171</v>
      </c>
    </row>
    <row r="4" spans="2:10" ht="15.75" customHeight="1" x14ac:dyDescent="0.2">
      <c r="B4" s="21" t="s">
        <v>189</v>
      </c>
      <c r="C4" s="52">
        <v>231</v>
      </c>
      <c r="D4" s="52">
        <v>260</v>
      </c>
      <c r="E4" s="52">
        <v>301</v>
      </c>
      <c r="F4" s="52">
        <v>325</v>
      </c>
      <c r="G4" s="52">
        <v>343</v>
      </c>
      <c r="H4" s="52">
        <v>362</v>
      </c>
      <c r="I4" s="52">
        <v>382</v>
      </c>
      <c r="J4" s="52">
        <v>403</v>
      </c>
    </row>
    <row r="5" spans="2:10" ht="15.75" customHeight="1" x14ac:dyDescent="0.2">
      <c r="B5" s="24" t="s">
        <v>190</v>
      </c>
      <c r="C5" s="53">
        <v>29</v>
      </c>
      <c r="D5" s="53">
        <v>41</v>
      </c>
      <c r="E5" s="53">
        <v>24</v>
      </c>
      <c r="F5" s="53">
        <v>15</v>
      </c>
      <c r="G5" s="53">
        <v>16</v>
      </c>
      <c r="H5" s="53">
        <v>17</v>
      </c>
      <c r="I5" s="53">
        <v>18</v>
      </c>
      <c r="J5" s="53">
        <v>19</v>
      </c>
    </row>
    <row r="6" spans="2:10" ht="15.75" customHeight="1" x14ac:dyDescent="0.2">
      <c r="B6" s="21" t="s">
        <v>191</v>
      </c>
      <c r="C6" s="52">
        <v>0</v>
      </c>
      <c r="D6" s="52">
        <v>0</v>
      </c>
      <c r="E6" s="52">
        <v>0</v>
      </c>
      <c r="F6" s="52">
        <v>3</v>
      </c>
      <c r="G6" s="52">
        <v>5</v>
      </c>
      <c r="H6" s="52">
        <v>6</v>
      </c>
      <c r="I6" s="52">
        <v>6</v>
      </c>
      <c r="J6" s="52">
        <v>5</v>
      </c>
    </row>
    <row r="7" spans="2:10" ht="15.75" customHeight="1" x14ac:dyDescent="0.2">
      <c r="B7" s="24" t="s">
        <v>192</v>
      </c>
      <c r="C7" s="53">
        <v>0</v>
      </c>
      <c r="D7" s="53">
        <v>0</v>
      </c>
      <c r="E7" s="53">
        <v>0</v>
      </c>
      <c r="F7" s="53">
        <v>1</v>
      </c>
      <c r="G7" s="53">
        <v>2</v>
      </c>
      <c r="H7" s="53">
        <v>3</v>
      </c>
      <c r="I7" s="53">
        <v>3</v>
      </c>
      <c r="J7" s="53">
        <v>3</v>
      </c>
    </row>
    <row r="8" spans="2:10" ht="15.75" customHeight="1" x14ac:dyDescent="0.2">
      <c r="B8" s="34" t="s">
        <v>193</v>
      </c>
      <c r="C8" s="54">
        <f t="shared" ref="C8:J8" si="0">SUM(C5:C7)</f>
        <v>29</v>
      </c>
      <c r="D8" s="54">
        <f t="shared" si="0"/>
        <v>41</v>
      </c>
      <c r="E8" s="54">
        <f t="shared" si="0"/>
        <v>24</v>
      </c>
      <c r="F8" s="54">
        <f t="shared" si="0"/>
        <v>19</v>
      </c>
      <c r="G8" s="54">
        <f t="shared" si="0"/>
        <v>23</v>
      </c>
      <c r="H8" s="54">
        <f t="shared" si="0"/>
        <v>26</v>
      </c>
      <c r="I8" s="54">
        <f t="shared" si="0"/>
        <v>27</v>
      </c>
      <c r="J8" s="54">
        <f t="shared" si="0"/>
        <v>27</v>
      </c>
    </row>
    <row r="9" spans="2:10" ht="15.75" customHeight="1" x14ac:dyDescent="0.2">
      <c r="B9" s="34" t="s">
        <v>194</v>
      </c>
      <c r="C9" s="54">
        <f t="shared" ref="C9:J9" si="1">C4+C8</f>
        <v>260</v>
      </c>
      <c r="D9" s="54">
        <f t="shared" si="1"/>
        <v>301</v>
      </c>
      <c r="E9" s="54">
        <f t="shared" si="1"/>
        <v>325</v>
      </c>
      <c r="F9" s="54">
        <f t="shared" si="1"/>
        <v>344</v>
      </c>
      <c r="G9" s="54">
        <f t="shared" si="1"/>
        <v>366</v>
      </c>
      <c r="H9" s="54">
        <f t="shared" si="1"/>
        <v>388</v>
      </c>
      <c r="I9" s="54">
        <f t="shared" si="1"/>
        <v>409</v>
      </c>
      <c r="J9" s="54">
        <f t="shared" si="1"/>
        <v>430</v>
      </c>
    </row>
    <row r="10" spans="2:10" ht="15.75" customHeight="1" x14ac:dyDescent="0.2">
      <c r="B10" s="21" t="s">
        <v>195</v>
      </c>
      <c r="C10" s="55">
        <v>0.13</v>
      </c>
      <c r="D10" s="56">
        <f t="shared" ref="D10:J10" si="2">(D9-C9)/C9</f>
        <v>0.15769230769230769</v>
      </c>
      <c r="E10" s="56">
        <f t="shared" si="2"/>
        <v>7.9734219269102985E-2</v>
      </c>
      <c r="F10" s="56">
        <f t="shared" si="2"/>
        <v>5.8461538461538461E-2</v>
      </c>
      <c r="G10" s="56">
        <f t="shared" si="2"/>
        <v>6.3953488372093026E-2</v>
      </c>
      <c r="H10" s="56">
        <f t="shared" si="2"/>
        <v>6.0109289617486336E-2</v>
      </c>
      <c r="I10" s="56">
        <f t="shared" si="2"/>
        <v>5.4123711340206188E-2</v>
      </c>
      <c r="J10" s="56">
        <f t="shared" si="2"/>
        <v>5.1344743276283619E-2</v>
      </c>
    </row>
    <row r="11" spans="2:10" ht="15.75" customHeight="1" x14ac:dyDescent="0.2"/>
    <row r="12" spans="2:10" ht="15.75" customHeight="1" x14ac:dyDescent="0.2">
      <c r="B12" s="21" t="s">
        <v>196</v>
      </c>
      <c r="C12" s="57">
        <v>11.6</v>
      </c>
      <c r="D12" s="57">
        <v>13</v>
      </c>
      <c r="E12" s="57">
        <v>16.600000000000001</v>
      </c>
      <c r="F12" s="57">
        <v>17.100000000000001</v>
      </c>
      <c r="G12" s="57">
        <v>18</v>
      </c>
      <c r="H12" s="57">
        <v>19</v>
      </c>
      <c r="I12" s="57">
        <v>20</v>
      </c>
      <c r="J12" s="57">
        <v>21.2</v>
      </c>
    </row>
    <row r="13" spans="2:10" ht="15.75" customHeight="1" x14ac:dyDescent="0.2">
      <c r="B13" s="24" t="s">
        <v>197</v>
      </c>
      <c r="C13" s="58">
        <v>0</v>
      </c>
      <c r="D13" s="58">
        <v>0.2</v>
      </c>
      <c r="E13" s="58">
        <v>0.4</v>
      </c>
      <c r="F13" s="58">
        <v>0.7</v>
      </c>
      <c r="G13" s="58">
        <v>1.2</v>
      </c>
      <c r="H13" s="58">
        <v>1.8</v>
      </c>
      <c r="I13" s="58">
        <v>2.2999999999999998</v>
      </c>
      <c r="J13" s="58">
        <v>2.8</v>
      </c>
    </row>
    <row r="14" spans="2:10" ht="15.75" customHeight="1" x14ac:dyDescent="0.2">
      <c r="B14" s="34" t="s">
        <v>198</v>
      </c>
      <c r="C14" s="59">
        <f t="shared" ref="C14:J14" si="3">C12+C13</f>
        <v>11.6</v>
      </c>
      <c r="D14" s="59">
        <f t="shared" si="3"/>
        <v>13.2</v>
      </c>
      <c r="E14" s="59">
        <f t="shared" si="3"/>
        <v>17</v>
      </c>
      <c r="F14" s="59">
        <f t="shared" si="3"/>
        <v>17.8</v>
      </c>
      <c r="G14" s="59">
        <f t="shared" si="3"/>
        <v>19.2</v>
      </c>
      <c r="H14" s="59">
        <f t="shared" si="3"/>
        <v>20.8</v>
      </c>
      <c r="I14" s="59">
        <f t="shared" si="3"/>
        <v>22.3</v>
      </c>
      <c r="J14" s="59">
        <f t="shared" si="3"/>
        <v>24</v>
      </c>
    </row>
    <row r="15" spans="2:10" ht="15.75" customHeight="1" x14ac:dyDescent="0.2"/>
    <row r="16" spans="2:10" ht="15.75" customHeight="1" x14ac:dyDescent="0.2">
      <c r="B16" s="34" t="s">
        <v>199</v>
      </c>
      <c r="C16" s="35">
        <f t="shared" ref="C16:J16" si="4">C9*C14*12/1000</f>
        <v>36.192</v>
      </c>
      <c r="D16" s="35">
        <f t="shared" si="4"/>
        <v>47.678399999999996</v>
      </c>
      <c r="E16" s="35">
        <f t="shared" si="4"/>
        <v>66.3</v>
      </c>
      <c r="F16" s="35">
        <f t="shared" si="4"/>
        <v>73.478399999999993</v>
      </c>
      <c r="G16" s="35">
        <f t="shared" si="4"/>
        <v>84.326399999999992</v>
      </c>
      <c r="H16" s="35">
        <f t="shared" si="4"/>
        <v>96.844800000000006</v>
      </c>
      <c r="I16" s="35">
        <f t="shared" si="4"/>
        <v>109.44840000000001</v>
      </c>
      <c r="J16" s="35">
        <f t="shared" si="4"/>
        <v>123.84</v>
      </c>
    </row>
    <row r="17" spans="2:10" ht="15.75" customHeight="1" x14ac:dyDescent="0.2">
      <c r="B17" s="24" t="s">
        <v>200</v>
      </c>
      <c r="C17" s="58">
        <v>31722</v>
      </c>
      <c r="D17" s="58">
        <v>39000</v>
      </c>
      <c r="E17" s="58">
        <v>45183</v>
      </c>
      <c r="F17" s="58">
        <v>53200</v>
      </c>
      <c r="G17" s="58">
        <v>61183</v>
      </c>
      <c r="H17" s="58">
        <v>69477</v>
      </c>
      <c r="I17" s="58">
        <v>76000</v>
      </c>
      <c r="J17" s="58">
        <v>83000</v>
      </c>
    </row>
    <row r="18" spans="2:10" ht="15.75" customHeight="1" x14ac:dyDescent="0.2">
      <c r="B18" s="34" t="s">
        <v>201</v>
      </c>
      <c r="C18" s="35">
        <f t="shared" ref="C18:J18" si="5">C16-C17</f>
        <v>-31685.808000000001</v>
      </c>
      <c r="D18" s="35">
        <f t="shared" si="5"/>
        <v>-38952.321600000003</v>
      </c>
      <c r="E18" s="35">
        <f t="shared" si="5"/>
        <v>-45116.7</v>
      </c>
      <c r="F18" s="35">
        <f t="shared" si="5"/>
        <v>-53126.5216</v>
      </c>
      <c r="G18" s="35">
        <f t="shared" si="5"/>
        <v>-61098.673600000002</v>
      </c>
      <c r="H18" s="35">
        <f t="shared" si="5"/>
        <v>-69380.155199999994</v>
      </c>
      <c r="I18" s="35">
        <f t="shared" si="5"/>
        <v>-75890.551600000006</v>
      </c>
      <c r="J18" s="35">
        <f t="shared" si="5"/>
        <v>-82876.160000000003</v>
      </c>
    </row>
  </sheetData>
  <mergeCells count="1">
    <mergeCell ref="B1:I1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7030A0"/>
  </sheetPr>
  <dimension ref="B1:H22"/>
  <sheetViews>
    <sheetView showGridLines="0" zoomScaleNormal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/>
    </sheetView>
  </sheetViews>
  <sheetFormatPr baseColWidth="10" defaultColWidth="8.6640625" defaultRowHeight="15" x14ac:dyDescent="0.2"/>
  <cols>
    <col min="1" max="1" width="2" customWidth="1"/>
    <col min="2" max="2" width="38" customWidth="1"/>
    <col min="3" max="8" width="15" customWidth="1"/>
  </cols>
  <sheetData>
    <row r="1" spans="2:8" ht="24" customHeight="1" x14ac:dyDescent="0.2">
      <c r="B1" s="3" t="s">
        <v>202</v>
      </c>
      <c r="C1" s="3"/>
      <c r="D1" s="3"/>
      <c r="E1" s="3"/>
      <c r="F1" s="3"/>
      <c r="G1" s="3"/>
      <c r="H1" s="3"/>
    </row>
    <row r="2" spans="2:8" ht="7.5" customHeight="1" x14ac:dyDescent="0.2"/>
    <row r="3" spans="2:8" ht="15" customHeight="1" x14ac:dyDescent="0.2">
      <c r="B3" s="2" t="s">
        <v>203</v>
      </c>
      <c r="C3" s="2"/>
      <c r="D3" s="2"/>
      <c r="E3" s="2"/>
      <c r="F3" s="2"/>
      <c r="G3" s="2"/>
      <c r="H3" s="2"/>
    </row>
    <row r="4" spans="2:8" ht="15" customHeight="1" x14ac:dyDescent="0.2">
      <c r="B4" s="20" t="s">
        <v>204</v>
      </c>
      <c r="C4" s="20" t="s">
        <v>205</v>
      </c>
      <c r="D4" s="20" t="s">
        <v>206</v>
      </c>
      <c r="E4" s="20" t="s">
        <v>207</v>
      </c>
      <c r="F4" s="20" t="s">
        <v>208</v>
      </c>
      <c r="G4" s="20" t="s">
        <v>209</v>
      </c>
    </row>
    <row r="5" spans="2:8" ht="15.75" customHeight="1" x14ac:dyDescent="0.2">
      <c r="B5" s="21" t="s">
        <v>210</v>
      </c>
      <c r="C5" s="22">
        <v>12000</v>
      </c>
      <c r="D5" s="22">
        <v>13200</v>
      </c>
      <c r="E5" s="22">
        <v>14520</v>
      </c>
      <c r="F5" s="60" t="s">
        <v>211</v>
      </c>
      <c r="G5" s="60" t="s">
        <v>212</v>
      </c>
    </row>
    <row r="6" spans="2:8" ht="15.75" customHeight="1" x14ac:dyDescent="0.2">
      <c r="B6" s="24" t="s">
        <v>213</v>
      </c>
      <c r="C6" s="25">
        <v>1200</v>
      </c>
      <c r="D6" s="25">
        <v>1680</v>
      </c>
      <c r="E6" s="25">
        <v>2100</v>
      </c>
      <c r="F6" s="61" t="s">
        <v>214</v>
      </c>
      <c r="G6" s="61" t="s">
        <v>215</v>
      </c>
    </row>
    <row r="7" spans="2:8" ht="15.75" customHeight="1" x14ac:dyDescent="0.2">
      <c r="B7" s="21" t="s">
        <v>216</v>
      </c>
      <c r="C7" s="22">
        <v>2500</v>
      </c>
      <c r="D7" s="22">
        <v>2750</v>
      </c>
      <c r="E7" s="22">
        <v>3025</v>
      </c>
      <c r="F7" s="60" t="s">
        <v>217</v>
      </c>
      <c r="G7" s="60" t="s">
        <v>218</v>
      </c>
    </row>
    <row r="8" spans="2:8" ht="15.75" customHeight="1" x14ac:dyDescent="0.2">
      <c r="B8" s="24" t="s">
        <v>219</v>
      </c>
      <c r="C8" s="25">
        <v>800</v>
      </c>
      <c r="D8" s="25">
        <v>1200</v>
      </c>
      <c r="E8" s="25">
        <v>1600</v>
      </c>
      <c r="F8" s="61" t="s">
        <v>220</v>
      </c>
      <c r="G8" s="61" t="s">
        <v>221</v>
      </c>
    </row>
    <row r="9" spans="2:8" ht="15.75" customHeight="1" x14ac:dyDescent="0.2">
      <c r="B9" s="21" t="s">
        <v>222</v>
      </c>
      <c r="C9" s="22">
        <v>500</v>
      </c>
      <c r="D9" s="22">
        <v>600</v>
      </c>
      <c r="E9" s="22">
        <v>720</v>
      </c>
      <c r="F9" s="60" t="s">
        <v>223</v>
      </c>
      <c r="G9" s="60" t="s">
        <v>224</v>
      </c>
    </row>
    <row r="10" spans="2:8" ht="15.75" customHeight="1" x14ac:dyDescent="0.2">
      <c r="B10" s="34" t="s">
        <v>225</v>
      </c>
      <c r="C10" s="35">
        <f>SUM(C5:C9)</f>
        <v>17000</v>
      </c>
      <c r="D10" s="35">
        <f>SUM(D5:D9)</f>
        <v>19430</v>
      </c>
      <c r="E10" s="35">
        <f>SUM(E5:E9)</f>
        <v>21965</v>
      </c>
      <c r="F10" s="62" t="s">
        <v>161</v>
      </c>
      <c r="G10" s="62"/>
    </row>
    <row r="11" spans="2:8" ht="7.5" customHeight="1" x14ac:dyDescent="0.2"/>
    <row r="12" spans="2:8" ht="15" customHeight="1" x14ac:dyDescent="0.2">
      <c r="B12" s="2" t="s">
        <v>226</v>
      </c>
      <c r="C12" s="2"/>
      <c r="D12" s="2"/>
      <c r="E12" s="2"/>
      <c r="F12" s="2"/>
      <c r="G12" s="2"/>
      <c r="H12" s="2"/>
    </row>
    <row r="13" spans="2:8" ht="15" customHeight="1" x14ac:dyDescent="0.2">
      <c r="B13" s="20" t="s">
        <v>36</v>
      </c>
      <c r="C13" s="20" t="s">
        <v>89</v>
      </c>
      <c r="D13" s="20" t="s">
        <v>90</v>
      </c>
      <c r="E13" s="20" t="s">
        <v>91</v>
      </c>
      <c r="F13" s="20" t="s">
        <v>227</v>
      </c>
      <c r="G13" s="20" t="s">
        <v>228</v>
      </c>
    </row>
    <row r="14" spans="2:8" ht="15.75" customHeight="1" x14ac:dyDescent="0.2">
      <c r="B14" s="21" t="s">
        <v>229</v>
      </c>
      <c r="C14" s="22">
        <v>1200</v>
      </c>
      <c r="D14" s="22">
        <v>1680</v>
      </c>
      <c r="E14" s="22">
        <v>2100</v>
      </c>
      <c r="F14" s="22">
        <v>2300</v>
      </c>
      <c r="G14" s="22">
        <v>2500</v>
      </c>
    </row>
    <row r="15" spans="2:8" ht="15.75" customHeight="1" x14ac:dyDescent="0.2">
      <c r="B15" s="24" t="s">
        <v>230</v>
      </c>
      <c r="C15" s="25">
        <v>180</v>
      </c>
      <c r="D15" s="25">
        <v>500</v>
      </c>
      <c r="E15" s="25">
        <v>900</v>
      </c>
      <c r="F15" s="25">
        <v>1200</v>
      </c>
      <c r="G15" s="25">
        <v>1500</v>
      </c>
    </row>
    <row r="16" spans="2:8" ht="15.75" customHeight="1" x14ac:dyDescent="0.2">
      <c r="B16" s="21" t="s">
        <v>231</v>
      </c>
      <c r="C16" s="22">
        <v>80</v>
      </c>
      <c r="D16" s="22">
        <v>200</v>
      </c>
      <c r="E16" s="22">
        <v>400</v>
      </c>
      <c r="F16" s="22">
        <v>600</v>
      </c>
      <c r="G16" s="22">
        <v>750</v>
      </c>
    </row>
    <row r="17" spans="2:7" ht="15.75" customHeight="1" x14ac:dyDescent="0.2">
      <c r="B17" s="24" t="s">
        <v>232</v>
      </c>
      <c r="C17" s="25">
        <v>40</v>
      </c>
      <c r="D17" s="25">
        <v>90</v>
      </c>
      <c r="E17" s="25">
        <v>150</v>
      </c>
      <c r="F17" s="25">
        <v>200</v>
      </c>
      <c r="G17" s="25">
        <v>250</v>
      </c>
    </row>
    <row r="18" spans="2:7" ht="15.75" customHeight="1" x14ac:dyDescent="0.2">
      <c r="B18" s="21" t="s">
        <v>233</v>
      </c>
      <c r="C18" s="22">
        <v>50</v>
      </c>
      <c r="D18" s="22">
        <v>120</v>
      </c>
      <c r="E18" s="22">
        <v>200</v>
      </c>
      <c r="F18" s="22">
        <v>250</v>
      </c>
      <c r="G18" s="22">
        <v>300</v>
      </c>
    </row>
    <row r="19" spans="2:7" ht="15.75" customHeight="1" x14ac:dyDescent="0.2">
      <c r="B19" s="34" t="s">
        <v>234</v>
      </c>
      <c r="C19" s="35">
        <f>SUM(C15:C18)</f>
        <v>350</v>
      </c>
      <c r="D19" s="35">
        <f>SUM(D15:D18)</f>
        <v>910</v>
      </c>
      <c r="E19" s="35">
        <f>SUM(E15:E18)</f>
        <v>1650</v>
      </c>
      <c r="F19" s="35">
        <f>SUM(F15:F18)</f>
        <v>2250</v>
      </c>
      <c r="G19" s="35">
        <f>SUM(G15:G18)</f>
        <v>2800</v>
      </c>
    </row>
    <row r="20" spans="2:7" ht="15.75" customHeight="1" x14ac:dyDescent="0.2">
      <c r="B20" s="34" t="s">
        <v>235</v>
      </c>
      <c r="C20" s="35">
        <f>C19+C14</f>
        <v>1550</v>
      </c>
      <c r="D20" s="35">
        <f>D19+D14</f>
        <v>2590</v>
      </c>
      <c r="E20" s="35">
        <f>E19+E14</f>
        <v>3750</v>
      </c>
      <c r="F20" s="35">
        <f>F19+F14</f>
        <v>4550</v>
      </c>
      <c r="G20" s="35">
        <f>G19+G14</f>
        <v>5300</v>
      </c>
    </row>
    <row r="21" spans="2:7" ht="15.75" customHeight="1" x14ac:dyDescent="0.2">
      <c r="B21" s="34" t="s">
        <v>236</v>
      </c>
      <c r="C21" s="35">
        <f>C20</f>
        <v>1550</v>
      </c>
      <c r="D21" s="35">
        <f>C21+D20</f>
        <v>4140</v>
      </c>
      <c r="E21" s="35">
        <f>D21+E20</f>
        <v>7890</v>
      </c>
      <c r="F21" s="35">
        <f>E21+F20</f>
        <v>12440</v>
      </c>
      <c r="G21" s="35">
        <f>F21+G20</f>
        <v>17740</v>
      </c>
    </row>
    <row r="22" spans="2:7" ht="15.75" customHeight="1" x14ac:dyDescent="0.2">
      <c r="B22" s="34" t="s">
        <v>237</v>
      </c>
      <c r="C22" s="49">
        <f>C21/C14*-1</f>
        <v>-1.2916666666666667</v>
      </c>
      <c r="D22" s="49">
        <f>D21/D14*-1</f>
        <v>-2.4642857142857144</v>
      </c>
      <c r="E22" s="49">
        <f>E21/E14*-1</f>
        <v>-3.7571428571428571</v>
      </c>
      <c r="F22" s="49">
        <f>F21/F14*-1</f>
        <v>-5.4086956521739129</v>
      </c>
      <c r="G22" s="49">
        <f>G21/G14*-1</f>
        <v>-7.0960000000000001</v>
      </c>
    </row>
  </sheetData>
  <mergeCells count="3">
    <mergeCell ref="B1:H1"/>
    <mergeCell ref="B3:H3"/>
    <mergeCell ref="B12:H12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70C0"/>
  </sheetPr>
  <dimension ref="B1:H33"/>
  <sheetViews>
    <sheetView showGridLines="0" zoomScaleNormal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/>
    </sheetView>
  </sheetViews>
  <sheetFormatPr baseColWidth="10" defaultColWidth="8.6640625" defaultRowHeight="15" x14ac:dyDescent="0.2"/>
  <cols>
    <col min="1" max="1" width="2" customWidth="1"/>
    <col min="2" max="2" width="36" customWidth="1"/>
    <col min="3" max="8" width="15" customWidth="1"/>
  </cols>
  <sheetData>
    <row r="1" spans="2:8" ht="24" customHeight="1" x14ac:dyDescent="0.2">
      <c r="B1" s="3" t="s">
        <v>238</v>
      </c>
      <c r="C1" s="3"/>
      <c r="D1" s="3"/>
      <c r="E1" s="3"/>
      <c r="F1" s="3"/>
      <c r="G1" s="3"/>
      <c r="H1" s="3"/>
    </row>
    <row r="2" spans="2:8" ht="7.5" customHeight="1" x14ac:dyDescent="0.2"/>
    <row r="3" spans="2:8" ht="15" customHeight="1" x14ac:dyDescent="0.2">
      <c r="B3" s="2" t="s">
        <v>239</v>
      </c>
      <c r="C3" s="2"/>
      <c r="D3" s="2"/>
      <c r="E3" s="2"/>
      <c r="F3" s="2"/>
      <c r="G3" s="2"/>
      <c r="H3" s="2"/>
    </row>
    <row r="4" spans="2:8" ht="15" customHeight="1" x14ac:dyDescent="0.2">
      <c r="C4" s="36" t="s">
        <v>38</v>
      </c>
      <c r="D4" s="36" t="s">
        <v>106</v>
      </c>
      <c r="E4" s="36" t="s">
        <v>107</v>
      </c>
      <c r="F4" s="36" t="s">
        <v>158</v>
      </c>
      <c r="G4" s="36" t="s">
        <v>171</v>
      </c>
    </row>
    <row r="5" spans="2:8" ht="15.75" customHeight="1" x14ac:dyDescent="0.2">
      <c r="B5" s="21" t="s">
        <v>240</v>
      </c>
      <c r="C5" s="22">
        <v>53200</v>
      </c>
      <c r="D5" s="22">
        <v>61183</v>
      </c>
      <c r="E5" s="22">
        <v>69477</v>
      </c>
      <c r="F5" s="22">
        <v>76000</v>
      </c>
      <c r="G5" s="22">
        <v>83000</v>
      </c>
    </row>
    <row r="6" spans="2:8" ht="15.75" customHeight="1" x14ac:dyDescent="0.2">
      <c r="B6" s="24" t="s">
        <v>241</v>
      </c>
      <c r="C6" s="25">
        <v>2232</v>
      </c>
      <c r="D6" s="25">
        <v>2679</v>
      </c>
      <c r="E6" s="25">
        <v>3079</v>
      </c>
      <c r="F6" s="25">
        <v>3541</v>
      </c>
      <c r="G6" s="25">
        <v>4072</v>
      </c>
    </row>
    <row r="7" spans="2:8" ht="15.75" customHeight="1" x14ac:dyDescent="0.2">
      <c r="B7" s="21" t="s">
        <v>242</v>
      </c>
      <c r="C7" s="63">
        <v>270</v>
      </c>
      <c r="D7" s="63">
        <v>710</v>
      </c>
      <c r="E7" s="63">
        <v>1270</v>
      </c>
      <c r="F7" s="63">
        <v>1600</v>
      </c>
      <c r="G7" s="63">
        <v>1930</v>
      </c>
    </row>
    <row r="8" spans="2:8" ht="15.75" customHeight="1" x14ac:dyDescent="0.2">
      <c r="B8" s="34" t="s">
        <v>243</v>
      </c>
      <c r="C8" s="35">
        <f>C5+C6+C7</f>
        <v>55702</v>
      </c>
      <c r="D8" s="35">
        <f>D5+D6+D7</f>
        <v>64572</v>
      </c>
      <c r="E8" s="35">
        <f>E5+E6+E7</f>
        <v>73826</v>
      </c>
      <c r="F8" s="35">
        <f>F5+F6+F7</f>
        <v>81141</v>
      </c>
      <c r="G8" s="35">
        <f>G5+G6+G7</f>
        <v>89002</v>
      </c>
    </row>
    <row r="9" spans="2:8" ht="15.75" customHeight="1" x14ac:dyDescent="0.2"/>
    <row r="10" spans="2:8" ht="15.75" customHeight="1" x14ac:dyDescent="0.2">
      <c r="B10" s="24" t="s">
        <v>244</v>
      </c>
      <c r="C10" s="25">
        <v>15616</v>
      </c>
      <c r="D10" s="25">
        <v>18355</v>
      </c>
      <c r="E10" s="25">
        <v>21078</v>
      </c>
      <c r="F10" s="25">
        <v>23560</v>
      </c>
      <c r="G10" s="25">
        <v>25730</v>
      </c>
    </row>
    <row r="11" spans="2:8" ht="15.75" customHeight="1" x14ac:dyDescent="0.2">
      <c r="B11" s="21" t="s">
        <v>245</v>
      </c>
      <c r="C11" s="22">
        <v>469</v>
      </c>
      <c r="D11" s="22">
        <v>563</v>
      </c>
      <c r="E11" s="22">
        <v>647</v>
      </c>
      <c r="F11" s="22">
        <v>744</v>
      </c>
      <c r="G11" s="22">
        <v>856</v>
      </c>
    </row>
    <row r="12" spans="2:8" ht="15.75" customHeight="1" x14ac:dyDescent="0.2">
      <c r="B12" s="24" t="s">
        <v>246</v>
      </c>
      <c r="C12" s="64">
        <v>270</v>
      </c>
      <c r="D12" s="64">
        <v>580</v>
      </c>
      <c r="E12" s="64">
        <v>900</v>
      </c>
      <c r="F12" s="64">
        <v>1010</v>
      </c>
      <c r="G12" s="64">
        <v>1060</v>
      </c>
    </row>
    <row r="13" spans="2:8" ht="15.75" customHeight="1" x14ac:dyDescent="0.2">
      <c r="B13" s="21" t="s">
        <v>247</v>
      </c>
      <c r="C13" s="22">
        <v>300</v>
      </c>
      <c r="D13" s="22">
        <v>150</v>
      </c>
      <c r="E13" s="22">
        <v>75</v>
      </c>
      <c r="F13" s="22">
        <v>0</v>
      </c>
      <c r="G13" s="22">
        <v>0</v>
      </c>
    </row>
    <row r="14" spans="2:8" ht="15.75" customHeight="1" x14ac:dyDescent="0.2">
      <c r="B14" s="34" t="s">
        <v>248</v>
      </c>
      <c r="C14" s="35">
        <f>C10+C11+C12+C13</f>
        <v>16655</v>
      </c>
      <c r="D14" s="35">
        <f>D10+D11+D12+D13</f>
        <v>19648</v>
      </c>
      <c r="E14" s="35">
        <f>E10+E11+E12+E13</f>
        <v>22700</v>
      </c>
      <c r="F14" s="35">
        <f>F10+F11+F12+F13</f>
        <v>25314</v>
      </c>
      <c r="G14" s="35">
        <f>G10+G11+G12+G13</f>
        <v>27646</v>
      </c>
    </row>
    <row r="15" spans="2:8" ht="15.75" customHeight="1" x14ac:dyDescent="0.2">
      <c r="B15" s="21" t="s">
        <v>128</v>
      </c>
      <c r="C15" s="56">
        <f>C14/C8</f>
        <v>0.29900183117302792</v>
      </c>
      <c r="D15" s="56">
        <f>D14/D8</f>
        <v>0.3042804930929815</v>
      </c>
      <c r="E15" s="56">
        <f>E14/E8</f>
        <v>0.30747974968168396</v>
      </c>
      <c r="F15" s="56">
        <f>F14/F8</f>
        <v>0.31197545014234479</v>
      </c>
      <c r="G15" s="56">
        <f>G14/G8</f>
        <v>0.3106222332082425</v>
      </c>
    </row>
    <row r="16" spans="2:8" ht="15.75" customHeight="1" x14ac:dyDescent="0.2"/>
    <row r="17" spans="2:8" ht="15.75" customHeight="1" x14ac:dyDescent="0.2">
      <c r="B17" s="21" t="s">
        <v>249</v>
      </c>
      <c r="C17" s="22">
        <v>2100</v>
      </c>
      <c r="D17" s="22">
        <v>2400</v>
      </c>
      <c r="E17" s="22">
        <v>2700</v>
      </c>
      <c r="F17" s="22">
        <v>3000</v>
      </c>
      <c r="G17" s="22">
        <v>3200</v>
      </c>
    </row>
    <row r="18" spans="2:8" ht="15.75" customHeight="1" x14ac:dyDescent="0.2">
      <c r="B18" s="24" t="s">
        <v>250</v>
      </c>
      <c r="C18" s="25">
        <v>1010</v>
      </c>
      <c r="D18" s="25">
        <v>960</v>
      </c>
      <c r="E18" s="25">
        <v>900</v>
      </c>
      <c r="F18" s="25">
        <v>840</v>
      </c>
      <c r="G18" s="25">
        <v>780</v>
      </c>
    </row>
    <row r="19" spans="2:8" ht="15.75" customHeight="1" x14ac:dyDescent="0.2">
      <c r="B19" s="34" t="s">
        <v>251</v>
      </c>
      <c r="C19" s="35">
        <f>C14-C17-C18</f>
        <v>13545</v>
      </c>
      <c r="D19" s="35">
        <f>D14-D17-D18</f>
        <v>16288</v>
      </c>
      <c r="E19" s="35">
        <f>E14-E17-E18</f>
        <v>19100</v>
      </c>
      <c r="F19" s="35">
        <f>F14-F17-F18</f>
        <v>21474</v>
      </c>
      <c r="G19" s="35">
        <f>G14-G17-G18</f>
        <v>23666</v>
      </c>
    </row>
    <row r="20" spans="2:8" ht="15.75" customHeight="1" x14ac:dyDescent="0.2">
      <c r="B20" s="24" t="s">
        <v>252</v>
      </c>
      <c r="C20" s="39">
        <f>C19*0.21</f>
        <v>2844.45</v>
      </c>
      <c r="D20" s="39">
        <f>D19*0.21</f>
        <v>3420.48</v>
      </c>
      <c r="E20" s="39">
        <f>E19*0.21</f>
        <v>4011</v>
      </c>
      <c r="F20" s="39">
        <f>F19*0.21</f>
        <v>4509.54</v>
      </c>
      <c r="G20" s="39">
        <f>G19*0.21</f>
        <v>4969.8599999999997</v>
      </c>
    </row>
    <row r="21" spans="2:8" ht="15.75" customHeight="1" x14ac:dyDescent="0.2">
      <c r="B21" s="34" t="s">
        <v>253</v>
      </c>
      <c r="C21" s="35">
        <f>C19-C20</f>
        <v>10700.55</v>
      </c>
      <c r="D21" s="35">
        <f>D19-D20</f>
        <v>12867.52</v>
      </c>
      <c r="E21" s="35">
        <f>E19-E20</f>
        <v>15089</v>
      </c>
      <c r="F21" s="35">
        <f>F19-F20</f>
        <v>16964.46</v>
      </c>
      <c r="G21" s="35">
        <f>G19-G20</f>
        <v>18696.14</v>
      </c>
    </row>
    <row r="22" spans="2:8" ht="15.75" customHeight="1" x14ac:dyDescent="0.2">
      <c r="B22" s="24" t="s">
        <v>254</v>
      </c>
      <c r="C22" s="65">
        <f>C21/430</f>
        <v>24.884999999999998</v>
      </c>
      <c r="D22" s="65">
        <f>D21/430</f>
        <v>29.92446511627907</v>
      </c>
      <c r="E22" s="65">
        <f>E21/430</f>
        <v>35.090697674418607</v>
      </c>
      <c r="F22" s="65">
        <f>F21/430</f>
        <v>39.452232558139535</v>
      </c>
      <c r="G22" s="65">
        <f>G21/430</f>
        <v>43.479395348837208</v>
      </c>
    </row>
    <row r="23" spans="2:8" ht="7.5" customHeight="1" x14ac:dyDescent="0.2"/>
    <row r="24" spans="2:8" ht="15" customHeight="1" x14ac:dyDescent="0.2">
      <c r="B24" s="2" t="s">
        <v>255</v>
      </c>
      <c r="C24" s="2"/>
      <c r="D24" s="2"/>
      <c r="E24" s="2"/>
      <c r="F24" s="2"/>
      <c r="G24" s="2"/>
      <c r="H24" s="2"/>
    </row>
    <row r="25" spans="2:8" ht="15.75" customHeight="1" x14ac:dyDescent="0.2">
      <c r="B25" s="21" t="s">
        <v>256</v>
      </c>
      <c r="C25" s="45">
        <v>6500</v>
      </c>
    </row>
    <row r="26" spans="2:8" ht="15.75" customHeight="1" x14ac:dyDescent="0.2">
      <c r="B26" s="24" t="s">
        <v>257</v>
      </c>
      <c r="C26" s="66" t="s">
        <v>258</v>
      </c>
    </row>
    <row r="27" spans="2:8" ht="15.75" customHeight="1" x14ac:dyDescent="0.2">
      <c r="B27" s="21" t="s">
        <v>259</v>
      </c>
      <c r="C27" s="45">
        <v>850</v>
      </c>
    </row>
    <row r="28" spans="2:8" ht="15.75" customHeight="1" x14ac:dyDescent="0.2">
      <c r="B28" s="24" t="s">
        <v>260</v>
      </c>
      <c r="C28" s="67">
        <v>8500</v>
      </c>
    </row>
    <row r="29" spans="2:8" ht="15.75" customHeight="1" x14ac:dyDescent="0.2">
      <c r="B29" s="21" t="s">
        <v>261</v>
      </c>
      <c r="C29" s="68" t="s">
        <v>262</v>
      </c>
    </row>
    <row r="30" spans="2:8" ht="15.75" customHeight="1" x14ac:dyDescent="0.2">
      <c r="B30" s="24" t="s">
        <v>263</v>
      </c>
      <c r="C30" s="66" t="s">
        <v>264</v>
      </c>
    </row>
    <row r="31" spans="2:8" ht="15.75" customHeight="1" x14ac:dyDescent="0.2">
      <c r="B31" s="21" t="s">
        <v>265</v>
      </c>
      <c r="C31" s="69" t="s">
        <v>266</v>
      </c>
    </row>
    <row r="32" spans="2:8" ht="15.75" customHeight="1" x14ac:dyDescent="0.2">
      <c r="B32" s="24" t="s">
        <v>267</v>
      </c>
      <c r="C32" s="66" t="s">
        <v>268</v>
      </c>
    </row>
    <row r="33" spans="2:3" ht="15.75" customHeight="1" x14ac:dyDescent="0.2">
      <c r="B33" s="21" t="s">
        <v>269</v>
      </c>
      <c r="C33" s="69" t="s">
        <v>270</v>
      </c>
    </row>
  </sheetData>
  <mergeCells count="3">
    <mergeCell ref="B1:H1"/>
    <mergeCell ref="B3:H3"/>
    <mergeCell ref="B24:H24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0000"/>
  </sheetPr>
  <dimension ref="B1:K31"/>
  <sheetViews>
    <sheetView showGridLines="0" zoomScaleNormal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/>
    </sheetView>
  </sheetViews>
  <sheetFormatPr baseColWidth="10" defaultColWidth="8.6640625" defaultRowHeight="15" x14ac:dyDescent="0.2"/>
  <cols>
    <col min="1" max="1" width="2" customWidth="1"/>
    <col min="2" max="2" width="20" customWidth="1"/>
    <col min="3" max="11" width="13" customWidth="1"/>
  </cols>
  <sheetData>
    <row r="1" spans="2:11" ht="24" customHeight="1" x14ac:dyDescent="0.2">
      <c r="B1" s="3" t="s">
        <v>271</v>
      </c>
      <c r="C1" s="3"/>
      <c r="D1" s="3"/>
      <c r="E1" s="3"/>
      <c r="F1" s="3"/>
      <c r="G1" s="3"/>
      <c r="H1" s="3"/>
      <c r="I1" s="3"/>
      <c r="J1" s="3"/>
      <c r="K1" s="3"/>
    </row>
    <row r="2" spans="2:11" ht="7.5" customHeight="1" x14ac:dyDescent="0.2"/>
    <row r="3" spans="2:11" ht="19.5" customHeight="1" x14ac:dyDescent="0.2">
      <c r="B3" s="2" t="s">
        <v>272</v>
      </c>
      <c r="C3" s="2"/>
      <c r="D3" s="2"/>
      <c r="E3" s="2"/>
      <c r="F3" s="2"/>
      <c r="G3" s="2"/>
      <c r="H3" s="2"/>
      <c r="I3" s="2"/>
      <c r="J3" s="2"/>
      <c r="K3" s="2"/>
    </row>
    <row r="4" spans="2:11" ht="15" customHeight="1" x14ac:dyDescent="0.2">
      <c r="B4" s="20" t="s">
        <v>273</v>
      </c>
      <c r="C4" s="20" t="s">
        <v>274</v>
      </c>
      <c r="D4" s="20" t="s">
        <v>275</v>
      </c>
      <c r="E4" s="20" t="s">
        <v>276</v>
      </c>
      <c r="F4" s="20" t="s">
        <v>277</v>
      </c>
      <c r="G4" s="20" t="s">
        <v>278</v>
      </c>
      <c r="H4" s="20" t="s">
        <v>279</v>
      </c>
      <c r="I4" s="20" t="s">
        <v>280</v>
      </c>
      <c r="J4" s="20" t="s">
        <v>281</v>
      </c>
      <c r="K4" s="20" t="s">
        <v>282</v>
      </c>
    </row>
    <row r="5" spans="2:11" ht="16.5" customHeight="1" x14ac:dyDescent="0.2">
      <c r="B5" s="70" t="s">
        <v>283</v>
      </c>
      <c r="C5" s="71">
        <v>0.32</v>
      </c>
      <c r="D5" s="71">
        <v>0.38</v>
      </c>
      <c r="E5" s="71">
        <v>0.44</v>
      </c>
      <c r="F5" s="71">
        <v>0.54</v>
      </c>
      <c r="G5" s="71">
        <v>0.62</v>
      </c>
      <c r="H5" s="71">
        <v>0.7</v>
      </c>
      <c r="I5" s="71">
        <v>0.77</v>
      </c>
      <c r="J5" s="71">
        <v>0.83</v>
      </c>
      <c r="K5" s="71">
        <v>0.88</v>
      </c>
    </row>
    <row r="6" spans="2:11" ht="16.5" customHeight="1" x14ac:dyDescent="0.2">
      <c r="B6" s="72" t="s">
        <v>284</v>
      </c>
      <c r="C6" s="73">
        <v>0.25</v>
      </c>
      <c r="D6" s="71">
        <v>0.3</v>
      </c>
      <c r="E6" s="71">
        <v>0.35</v>
      </c>
      <c r="F6" s="71">
        <v>0.44</v>
      </c>
      <c r="G6" s="71">
        <v>0.51</v>
      </c>
      <c r="H6" s="71">
        <v>0.57999999999999996</v>
      </c>
      <c r="I6" s="71">
        <v>0.65</v>
      </c>
      <c r="J6" s="71">
        <v>0.71</v>
      </c>
      <c r="K6" s="71">
        <v>0.76</v>
      </c>
    </row>
    <row r="7" spans="2:11" ht="16.5" customHeight="1" x14ac:dyDescent="0.2">
      <c r="B7" s="70" t="s">
        <v>285</v>
      </c>
      <c r="C7" s="73">
        <v>0.2</v>
      </c>
      <c r="D7" s="73">
        <v>0.25</v>
      </c>
      <c r="E7" s="73">
        <v>0.28999999999999998</v>
      </c>
      <c r="F7" s="71">
        <v>0.37</v>
      </c>
      <c r="G7" s="71">
        <v>0.43</v>
      </c>
      <c r="H7" s="71">
        <v>0.5</v>
      </c>
      <c r="I7" s="71">
        <v>0.56000000000000005</v>
      </c>
      <c r="J7" s="71">
        <v>0.62</v>
      </c>
      <c r="K7" s="71">
        <v>0.67</v>
      </c>
    </row>
    <row r="8" spans="2:11" ht="16.5" customHeight="1" x14ac:dyDescent="0.2">
      <c r="B8" s="72" t="s">
        <v>286</v>
      </c>
      <c r="C8" s="74">
        <v>0.17</v>
      </c>
      <c r="D8" s="73">
        <v>0.21</v>
      </c>
      <c r="E8" s="73">
        <v>0.25</v>
      </c>
      <c r="F8" s="71">
        <v>0.32</v>
      </c>
      <c r="G8" s="71">
        <v>0.38</v>
      </c>
      <c r="H8" s="71">
        <v>0.44</v>
      </c>
      <c r="I8" s="71">
        <v>0.5</v>
      </c>
      <c r="J8" s="71">
        <v>0.55000000000000004</v>
      </c>
      <c r="K8" s="71">
        <v>0.6</v>
      </c>
    </row>
    <row r="9" spans="2:11" ht="16.5" customHeight="1" x14ac:dyDescent="0.2">
      <c r="B9" s="36" t="s">
        <v>287</v>
      </c>
      <c r="C9" s="75">
        <v>0.15</v>
      </c>
      <c r="D9" s="75">
        <v>0.19</v>
      </c>
      <c r="E9" s="76">
        <v>0.23</v>
      </c>
      <c r="F9" s="77">
        <v>0.3</v>
      </c>
      <c r="G9" s="77">
        <v>0.35</v>
      </c>
      <c r="H9" s="77">
        <v>0.41</v>
      </c>
      <c r="I9" s="77">
        <v>0.47</v>
      </c>
      <c r="J9" s="77">
        <v>0.52</v>
      </c>
      <c r="K9" s="77">
        <v>0.56999999999999995</v>
      </c>
    </row>
    <row r="10" spans="2:11" ht="16.5" customHeight="1" x14ac:dyDescent="0.2">
      <c r="B10" s="72" t="s">
        <v>288</v>
      </c>
      <c r="C10" s="78">
        <v>0.14000000000000001</v>
      </c>
      <c r="D10" s="74">
        <v>0.18</v>
      </c>
      <c r="E10" s="73">
        <v>0.21</v>
      </c>
      <c r="F10" s="73">
        <v>0.28000000000000003</v>
      </c>
      <c r="G10" s="71">
        <v>0.33</v>
      </c>
      <c r="H10" s="71">
        <v>0.38</v>
      </c>
      <c r="I10" s="71">
        <v>0.44</v>
      </c>
      <c r="J10" s="71">
        <v>0.49</v>
      </c>
      <c r="K10" s="71">
        <v>0.54</v>
      </c>
    </row>
    <row r="11" spans="2:11" ht="16.5" customHeight="1" x14ac:dyDescent="0.2">
      <c r="B11" s="70" t="s">
        <v>289</v>
      </c>
      <c r="C11" s="78">
        <v>0.12</v>
      </c>
      <c r="D11" s="74">
        <v>0.15</v>
      </c>
      <c r="E11" s="74">
        <v>0.18</v>
      </c>
      <c r="F11" s="73">
        <v>0.24</v>
      </c>
      <c r="G11" s="73">
        <v>0.28999999999999998</v>
      </c>
      <c r="H11" s="71">
        <v>0.34</v>
      </c>
      <c r="I11" s="71">
        <v>0.39</v>
      </c>
      <c r="J11" s="71">
        <v>0.44</v>
      </c>
      <c r="K11" s="71">
        <v>0.49</v>
      </c>
    </row>
    <row r="12" spans="2:11" ht="16.5" customHeight="1" x14ac:dyDescent="0.2">
      <c r="B12" s="72" t="s">
        <v>290</v>
      </c>
      <c r="C12" s="78">
        <v>0.1</v>
      </c>
      <c r="D12" s="78">
        <v>0.13</v>
      </c>
      <c r="E12" s="74">
        <v>0.16</v>
      </c>
      <c r="F12" s="73">
        <v>0.22</v>
      </c>
      <c r="G12" s="73">
        <v>0.26</v>
      </c>
      <c r="H12" s="71">
        <v>0.31</v>
      </c>
      <c r="I12" s="71">
        <v>0.35</v>
      </c>
      <c r="J12" s="71">
        <v>0.4</v>
      </c>
      <c r="K12" s="71">
        <v>0.45</v>
      </c>
    </row>
    <row r="13" spans="2:11" ht="16.5" customHeight="1" x14ac:dyDescent="0.2">
      <c r="B13" s="70" t="s">
        <v>291</v>
      </c>
      <c r="C13" s="79">
        <v>0.09</v>
      </c>
      <c r="D13" s="78">
        <v>0.12</v>
      </c>
      <c r="E13" s="78">
        <v>0.14000000000000001</v>
      </c>
      <c r="F13" s="74">
        <v>0.19</v>
      </c>
      <c r="G13" s="73">
        <v>0.23</v>
      </c>
      <c r="H13" s="73">
        <v>0.27</v>
      </c>
      <c r="I13" s="71">
        <v>0.31</v>
      </c>
      <c r="J13" s="71">
        <v>0.36</v>
      </c>
      <c r="K13" s="71">
        <v>0.41</v>
      </c>
    </row>
    <row r="14" spans="2:11" ht="7.5" customHeight="1" x14ac:dyDescent="0.2"/>
    <row r="15" spans="2:11" ht="19.5" customHeight="1" x14ac:dyDescent="0.2">
      <c r="B15" s="2" t="s">
        <v>292</v>
      </c>
      <c r="C15" s="2"/>
      <c r="D15" s="2"/>
      <c r="E15" s="2"/>
      <c r="F15" s="2"/>
      <c r="G15" s="2"/>
      <c r="H15" s="2"/>
      <c r="I15" s="2"/>
      <c r="J15" s="2"/>
      <c r="K15" s="2"/>
    </row>
    <row r="16" spans="2:11" ht="15" customHeight="1" x14ac:dyDescent="0.2">
      <c r="B16" s="20" t="s">
        <v>293</v>
      </c>
      <c r="C16" s="20" t="s">
        <v>294</v>
      </c>
      <c r="D16" s="20" t="s">
        <v>295</v>
      </c>
      <c r="E16" s="20" t="s">
        <v>274</v>
      </c>
      <c r="F16" s="20" t="s">
        <v>275</v>
      </c>
      <c r="G16" s="20" t="s">
        <v>276</v>
      </c>
      <c r="H16" s="20" t="s">
        <v>277</v>
      </c>
      <c r="I16" s="20" t="s">
        <v>278</v>
      </c>
      <c r="J16" s="20" t="s">
        <v>279</v>
      </c>
    </row>
    <row r="17" spans="2:10" ht="16.5" customHeight="1" x14ac:dyDescent="0.2">
      <c r="B17" s="70" t="s">
        <v>296</v>
      </c>
      <c r="C17" s="80">
        <v>-0.15</v>
      </c>
      <c r="D17" s="81">
        <v>-0.08</v>
      </c>
      <c r="E17" s="82">
        <v>0.02</v>
      </c>
      <c r="F17" s="82">
        <v>0.09</v>
      </c>
      <c r="G17" s="82">
        <v>0.16</v>
      </c>
      <c r="H17" s="82">
        <v>0.28000000000000003</v>
      </c>
      <c r="I17" s="83">
        <v>0.4</v>
      </c>
      <c r="J17" s="83">
        <v>0.51</v>
      </c>
    </row>
    <row r="18" spans="2:10" ht="16.5" customHeight="1" x14ac:dyDescent="0.2">
      <c r="B18" s="72" t="s">
        <v>297</v>
      </c>
      <c r="C18" s="80">
        <v>-0.1</v>
      </c>
      <c r="D18" s="81">
        <v>-0.03</v>
      </c>
      <c r="E18" s="82">
        <v>7.0000000000000007E-2</v>
      </c>
      <c r="F18" s="82">
        <v>0.14000000000000001</v>
      </c>
      <c r="G18" s="82">
        <v>0.21</v>
      </c>
      <c r="H18" s="83">
        <v>0.33</v>
      </c>
      <c r="I18" s="83">
        <v>0.45</v>
      </c>
      <c r="J18" s="83">
        <v>0.56000000000000005</v>
      </c>
    </row>
    <row r="19" spans="2:10" ht="16.5" customHeight="1" x14ac:dyDescent="0.2">
      <c r="B19" s="70" t="s">
        <v>298</v>
      </c>
      <c r="C19" s="81">
        <v>-0.05</v>
      </c>
      <c r="D19" s="82">
        <v>0.02</v>
      </c>
      <c r="E19" s="82">
        <v>0.12</v>
      </c>
      <c r="F19" s="82">
        <v>0.19</v>
      </c>
      <c r="G19" s="82">
        <v>0.26</v>
      </c>
      <c r="H19" s="83">
        <v>0.38</v>
      </c>
      <c r="I19" s="83">
        <v>0.5</v>
      </c>
      <c r="J19" s="83">
        <v>0.61</v>
      </c>
    </row>
    <row r="20" spans="2:10" ht="16.5" customHeight="1" x14ac:dyDescent="0.2">
      <c r="B20" s="72" t="s">
        <v>299</v>
      </c>
      <c r="C20" s="81">
        <v>0</v>
      </c>
      <c r="D20" s="82">
        <v>7.0000000000000007E-2</v>
      </c>
      <c r="E20" s="82">
        <v>0.17</v>
      </c>
      <c r="F20" s="82">
        <v>0.24</v>
      </c>
      <c r="G20" s="83">
        <v>0.31</v>
      </c>
      <c r="H20" s="83">
        <v>0.43</v>
      </c>
      <c r="I20" s="83">
        <v>0.55000000000000004</v>
      </c>
      <c r="J20" s="83">
        <v>0.66</v>
      </c>
    </row>
    <row r="21" spans="2:10" ht="16.5" customHeight="1" x14ac:dyDescent="0.2">
      <c r="B21" s="36" t="s">
        <v>300</v>
      </c>
      <c r="C21" s="84">
        <v>0.05</v>
      </c>
      <c r="D21" s="84">
        <v>0.12</v>
      </c>
      <c r="E21" s="84">
        <v>0.22</v>
      </c>
      <c r="F21" s="84">
        <v>0.28999999999999998</v>
      </c>
      <c r="G21" s="85">
        <v>0.36</v>
      </c>
      <c r="H21" s="85">
        <v>0.48</v>
      </c>
      <c r="I21" s="85">
        <v>0.6</v>
      </c>
      <c r="J21" s="85">
        <v>0.71</v>
      </c>
    </row>
    <row r="22" spans="2:10" ht="16.5" customHeight="1" x14ac:dyDescent="0.2">
      <c r="B22" s="72" t="s">
        <v>301</v>
      </c>
      <c r="C22" s="82">
        <v>0.1</v>
      </c>
      <c r="D22" s="82">
        <v>0.17</v>
      </c>
      <c r="E22" s="82">
        <v>0.27</v>
      </c>
      <c r="F22" s="83">
        <v>0.34</v>
      </c>
      <c r="G22" s="83">
        <v>0.41</v>
      </c>
      <c r="H22" s="83">
        <v>0.53</v>
      </c>
      <c r="I22" s="83">
        <v>0.65</v>
      </c>
      <c r="J22" s="83">
        <v>0.76</v>
      </c>
    </row>
    <row r="23" spans="2:10" ht="16.5" customHeight="1" x14ac:dyDescent="0.2">
      <c r="B23" s="70" t="s">
        <v>302</v>
      </c>
      <c r="C23" s="82">
        <v>0.15</v>
      </c>
      <c r="D23" s="82">
        <v>0.22</v>
      </c>
      <c r="E23" s="83">
        <v>0.32</v>
      </c>
      <c r="F23" s="83">
        <v>0.39</v>
      </c>
      <c r="G23" s="83">
        <v>0.46</v>
      </c>
      <c r="H23" s="83">
        <v>0.57999999999999996</v>
      </c>
      <c r="I23" s="83">
        <v>0.7</v>
      </c>
      <c r="J23" s="83">
        <v>0.81</v>
      </c>
    </row>
    <row r="24" spans="2:10" ht="16.5" customHeight="1" x14ac:dyDescent="0.2">
      <c r="B24" s="72" t="s">
        <v>303</v>
      </c>
      <c r="C24" s="82">
        <v>0.2</v>
      </c>
      <c r="D24" s="82">
        <v>0.27</v>
      </c>
      <c r="E24" s="83">
        <v>0.37</v>
      </c>
      <c r="F24" s="83">
        <v>0.44</v>
      </c>
      <c r="G24" s="83">
        <v>0.51</v>
      </c>
      <c r="H24" s="83">
        <v>0.63</v>
      </c>
      <c r="I24" s="83">
        <v>0.75</v>
      </c>
      <c r="J24" s="83">
        <v>0.86</v>
      </c>
    </row>
    <row r="25" spans="2:10" ht="7.5" customHeight="1" x14ac:dyDescent="0.2"/>
    <row r="26" spans="2:10" ht="15" customHeight="1" x14ac:dyDescent="0.2">
      <c r="B26" s="1" t="s">
        <v>304</v>
      </c>
      <c r="C26" s="1"/>
      <c r="D26" s="1"/>
      <c r="E26" s="1"/>
      <c r="F26" s="1"/>
    </row>
    <row r="27" spans="2:10" ht="15.75" customHeight="1" x14ac:dyDescent="0.2">
      <c r="B27" s="86" t="s">
        <v>29</v>
      </c>
      <c r="C27" s="87" t="s">
        <v>305</v>
      </c>
    </row>
    <row r="28" spans="2:10" ht="15.75" customHeight="1" x14ac:dyDescent="0.2">
      <c r="B28" s="88" t="s">
        <v>29</v>
      </c>
      <c r="C28" s="87" t="s">
        <v>306</v>
      </c>
    </row>
    <row r="29" spans="2:10" ht="15.75" customHeight="1" x14ac:dyDescent="0.2">
      <c r="B29" s="89" t="s">
        <v>29</v>
      </c>
      <c r="C29" s="87" t="s">
        <v>307</v>
      </c>
    </row>
    <row r="30" spans="2:10" ht="15.75" customHeight="1" x14ac:dyDescent="0.2">
      <c r="B30" s="90" t="s">
        <v>29</v>
      </c>
      <c r="C30" s="87" t="s">
        <v>308</v>
      </c>
    </row>
    <row r="31" spans="2:10" ht="15.75" customHeight="1" x14ac:dyDescent="0.2">
      <c r="B31" s="91" t="s">
        <v>29</v>
      </c>
      <c r="C31" s="87" t="s">
        <v>309</v>
      </c>
    </row>
  </sheetData>
  <mergeCells count="4">
    <mergeCell ref="B1:K1"/>
    <mergeCell ref="B3:K3"/>
    <mergeCell ref="B15:K15"/>
    <mergeCell ref="B26:F26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Cover</vt:lpstr>
      <vt:lpstr>Key Assumptions</vt:lpstr>
      <vt:lpstr>Standalone Financials</vt:lpstr>
      <vt:lpstr>Acquisition Model</vt:lpstr>
      <vt:lpstr>Synergy Analysis</vt:lpstr>
      <vt:lpstr>Subscriber Growth</vt:lpstr>
      <vt:lpstr>Content ROI</vt:lpstr>
      <vt:lpstr>Valuation &amp; Returns</vt:lpstr>
      <vt:lpstr>Sensitivity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Sareen, Prathit</cp:lastModifiedBy>
  <cp:revision>0</cp:revision>
  <dcterms:created xsi:type="dcterms:W3CDTF">2026-04-16T02:26:36Z</dcterms:created>
  <dcterms:modified xsi:type="dcterms:W3CDTF">2026-04-16T02:29:20Z</dcterms:modified>
  <dc:language>en-US</dc:language>
</cp:coreProperties>
</file>